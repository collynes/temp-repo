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nyT\"/>
    </mc:Choice>
  </mc:AlternateContent>
  <xr:revisionPtr revIDLastSave="0" documentId="13_ncr:1_{0A333CA6-158C-4EC4-A025-E4BC21E653F6}" xr6:coauthVersionLast="47" xr6:coauthVersionMax="47" xr10:uidLastSave="{00000000-0000-0000-0000-000000000000}"/>
  <bookViews>
    <workbookView xWindow="-108" yWindow="-108" windowWidth="23256" windowHeight="12456" xr2:uid="{B68BF1CC-6704-473B-B933-3E685BFEE6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I10" i="1"/>
  <c r="I9" i="1"/>
  <c r="I8" i="1"/>
  <c r="I7" i="1"/>
  <c r="I6" i="1"/>
  <c r="I5" i="1"/>
  <c r="I4" i="1"/>
  <c r="I3" i="1"/>
  <c r="H12" i="1"/>
  <c r="G12" i="1"/>
  <c r="I12" i="1" l="1"/>
  <c r="C3" i="1" s="1"/>
  <c r="D3" i="1" s="1"/>
  <c r="B19" i="1" s="1"/>
  <c r="C4" i="1" l="1"/>
  <c r="D4" i="1" s="1"/>
  <c r="B20" i="1" s="1"/>
</calcChain>
</file>

<file path=xl/sharedStrings.xml><?xml version="1.0" encoding="utf-8"?>
<sst xmlns="http://schemas.openxmlformats.org/spreadsheetml/2006/main" count="59" uniqueCount="30">
  <si>
    <t>SHARED EXPENSES</t>
  </si>
  <si>
    <t>BALANCE</t>
  </si>
  <si>
    <t>SHOP</t>
  </si>
  <si>
    <t>TT1</t>
  </si>
  <si>
    <t>TT2</t>
  </si>
  <si>
    <t>SALES (Aug24-April25)</t>
  </si>
  <si>
    <t>Total</t>
  </si>
  <si>
    <t>Amount</t>
  </si>
  <si>
    <t>Rent</t>
  </si>
  <si>
    <t>Hosting</t>
  </si>
  <si>
    <t>Sal</t>
  </si>
  <si>
    <t>Collins</t>
  </si>
  <si>
    <t>Tokens</t>
  </si>
  <si>
    <t>Packaging bags</t>
  </si>
  <si>
    <t>Daily Fare</t>
  </si>
  <si>
    <t>Shared Expenses</t>
  </si>
  <si>
    <t>Christine Compasionate fund</t>
  </si>
  <si>
    <t>T1 Bank Balance as of Aug 31:</t>
  </si>
  <si>
    <t>Month</t>
  </si>
  <si>
    <t xml:space="preserve"> Expense Item</t>
  </si>
  <si>
    <t>Column1</t>
  </si>
  <si>
    <t>Column2</t>
  </si>
  <si>
    <t xml:space="preserve">Shop </t>
  </si>
  <si>
    <t>Amount Due</t>
  </si>
  <si>
    <t>T2 Sales</t>
  </si>
  <si>
    <t>T1 Sales</t>
  </si>
  <si>
    <t>Share</t>
  </si>
  <si>
    <t>Kembois</t>
  </si>
  <si>
    <t>Mutais</t>
  </si>
  <si>
    <t>T1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</si>
</sst>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3C47D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wrapText="1"/>
    </xf>
    <xf numFmtId="17" fontId="0" fillId="0" borderId="0" xfId="0" applyNumberFormat="1"/>
    <xf numFmtId="0" fontId="0" fillId="2" borderId="2" xfId="0" applyFont="1" applyFill="1" applyBorder="1"/>
    <xf numFmtId="0" fontId="0" fillId="0" borderId="2" xfId="0" applyFont="1" applyBorder="1"/>
    <xf numFmtId="0" fontId="2" fillId="0" borderId="3" xfId="0" applyFont="1" applyBorder="1" applyAlignment="1">
      <alignment wrapText="1"/>
    </xf>
    <xf numFmtId="17" fontId="2" fillId="0" borderId="4" xfId="0" applyNumberFormat="1" applyFont="1" applyBorder="1" applyAlignment="1">
      <alignment horizontal="right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horizontal="right" wrapText="1"/>
    </xf>
    <xf numFmtId="17" fontId="2" fillId="0" borderId="10" xfId="0" applyNumberFormat="1" applyFont="1" applyBorder="1" applyAlignment="1">
      <alignment horizontal="right" wrapText="1"/>
    </xf>
    <xf numFmtId="0" fontId="3" fillId="3" borderId="11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4" xfId="0" applyFont="1" applyBorder="1" applyAlignment="1">
      <alignment horizontal="righ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2" formatCode="mmm\-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ABC288-4013-4110-B357-F9F4EF7502B0}" name="Table1" displayName="Table1" ref="A2:D4" totalsRowShown="0" headerRowDxfId="9">
  <autoFilter ref="A2:D4" xr:uid="{09ABC288-4013-4110-B357-F9F4EF7502B0}"/>
  <tableColumns count="4">
    <tableColumn id="1" xr3:uid="{D85D7324-90EF-4ED0-AA4B-CDD939D4AD70}" name="SHOP"/>
    <tableColumn id="2" xr3:uid="{1D285074-993E-49E9-B229-43814049B56B}" name="SALES (Aug24-April25)"/>
    <tableColumn id="3" xr3:uid="{54C65FF3-9B4B-455E-95EE-47472B33439A}" name="SHARED EXPENSES">
      <calculatedColumnFormula>I11/2</calculatedColumnFormula>
    </tableColumn>
    <tableColumn id="4" xr3:uid="{97518940-4222-46A9-B28F-630B44FCF84C}" name="BALANCE">
      <calculatedColumnFormula>B3-C3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B28092-3679-4474-8198-4C1AADFC349B}" name="Table2" displayName="Table2" ref="F2:I12" totalsRowShown="0" headerRowDxfId="8">
  <autoFilter ref="F2:I12" xr:uid="{38B28092-3679-4474-8198-4C1AADFC349B}"/>
  <tableColumns count="4">
    <tableColumn id="1" xr3:uid="{09D24839-30C9-4B17-A747-436918675C29}" name="Month"/>
    <tableColumn id="2" xr3:uid="{7CE813FE-723E-4048-843B-D47A2893FBCE}" name="T2 Sales"/>
    <tableColumn id="3" xr3:uid="{D2FEDB7D-A46F-4659-9A15-BFBDAC0F4F5F}" name="T1 Sales"/>
    <tableColumn id="4" xr3:uid="{BB0AFA52-1250-4751-98FA-23630B95435C}" name="Shared Expens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7B339D-1CA1-415F-8D10-1EDDF60525F0}" name="Table3" displayName="Table3" ref="K2:M36" totalsRowShown="0" headerRowDxfId="1" headerRowBorderDxfId="6" tableBorderDxfId="7" totalsRowBorderDxfId="5">
  <autoFilter ref="K2:M36" xr:uid="{3E7B339D-1CA1-415F-8D10-1EDDF60525F0}"/>
  <tableColumns count="3">
    <tableColumn id="1" xr3:uid="{2EC3B391-63DF-4E6F-A5A1-A42F5A46E66C}" name=" Expense Item" dataDxfId="4"/>
    <tableColumn id="2" xr3:uid="{0A4F625D-8A24-4EB7-86D3-853B02530331}" name="Amount" dataDxfId="3"/>
    <tableColumn id="3" xr3:uid="{CD261A09-19D8-43A7-9089-D0F4505D61E5}" name="Month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C1E509-B7CF-42BE-85A5-E5F52A9C9F74}" name="Table5" displayName="Table5" ref="A18:B20" totalsRowShown="0">
  <autoFilter ref="A18:B20" xr:uid="{93C1E509-B7CF-42BE-85A5-E5F52A9C9F74}"/>
  <tableColumns count="2">
    <tableColumn id="1" xr3:uid="{2BE3D56F-4FC9-4EB9-ADD4-FDE9C6FE037B}" name="Shop "/>
    <tableColumn id="2" xr3:uid="{C85D856B-6DA7-4849-8286-BE9887402C00}" name="Amount Due">
      <calculatedColumnFormula>D3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763DAA-2563-4DE1-BB82-0949D2E68594}" name="Table4" displayName="Table4" ref="C14:D15" totalsRowShown="0">
  <autoFilter ref="C14:D15" xr:uid="{53763DAA-2563-4DE1-BB82-0949D2E68594}"/>
  <tableColumns count="2">
    <tableColumn id="1" xr3:uid="{F1251833-BC8A-4FD2-89B4-65F06BADE6B9}" name="Column1" dataDxfId="0"/>
    <tableColumn id="2" xr3:uid="{978F3A0A-2B90-4F40-8123-AB33B25C16CF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21C7-0011-49D1-A8D8-66C365E13A85}">
  <dimension ref="A2:M36"/>
  <sheetViews>
    <sheetView tabSelected="1" workbookViewId="0">
      <selection activeCell="D22" sqref="D22"/>
    </sheetView>
  </sheetViews>
  <sheetFormatPr defaultRowHeight="14.4" x14ac:dyDescent="0.3"/>
  <cols>
    <col min="2" max="2" width="22.44140625" customWidth="1"/>
    <col min="3" max="3" width="19.109375" customWidth="1"/>
    <col min="4" max="4" width="10.77734375" customWidth="1"/>
    <col min="9" max="9" width="16.88671875" customWidth="1"/>
    <col min="11" max="11" width="24.5546875" customWidth="1"/>
    <col min="12" max="12" width="9.6640625" customWidth="1"/>
  </cols>
  <sheetData>
    <row r="2" spans="1:13" s="1" customFormat="1" ht="15" thickBot="1" x14ac:dyDescent="0.35">
      <c r="A2" s="1" t="s">
        <v>2</v>
      </c>
      <c r="B2" s="1" t="s">
        <v>5</v>
      </c>
      <c r="C2" s="1" t="s">
        <v>0</v>
      </c>
      <c r="D2" s="1" t="s">
        <v>1</v>
      </c>
      <c r="F2" s="1" t="s">
        <v>18</v>
      </c>
      <c r="G2" s="1" t="s">
        <v>24</v>
      </c>
      <c r="H2" s="1" t="s">
        <v>25</v>
      </c>
      <c r="I2" s="1" t="s">
        <v>15</v>
      </c>
      <c r="K2" s="8" t="s">
        <v>19</v>
      </c>
      <c r="L2" s="9" t="s">
        <v>7</v>
      </c>
      <c r="M2" s="10" t="s">
        <v>18</v>
      </c>
    </row>
    <row r="3" spans="1:13" ht="15" thickBot="1" x14ac:dyDescent="0.35">
      <c r="A3" t="s">
        <v>3</v>
      </c>
      <c r="B3">
        <v>377220</v>
      </c>
      <c r="C3">
        <f>I12/2</f>
        <v>170410</v>
      </c>
      <c r="D3">
        <f>B3-C3</f>
        <v>206810</v>
      </c>
      <c r="F3" s="3">
        <v>45505</v>
      </c>
      <c r="G3">
        <v>35000</v>
      </c>
      <c r="H3">
        <v>78400</v>
      </c>
      <c r="I3">
        <f>L3+L4+L5+L36</f>
        <v>36345</v>
      </c>
      <c r="K3" s="6" t="s">
        <v>8</v>
      </c>
      <c r="L3" s="2">
        <v>20483</v>
      </c>
      <c r="M3" s="7">
        <v>45505</v>
      </c>
    </row>
    <row r="4" spans="1:13" ht="15" thickBot="1" x14ac:dyDescent="0.35">
      <c r="A4" t="s">
        <v>4</v>
      </c>
      <c r="B4">
        <v>241405</v>
      </c>
      <c r="C4">
        <f>I12/2</f>
        <v>170410</v>
      </c>
      <c r="D4">
        <f>B4-C4</f>
        <v>70995</v>
      </c>
      <c r="F4" s="3">
        <v>45536</v>
      </c>
      <c r="G4">
        <v>16870</v>
      </c>
      <c r="H4">
        <v>38820</v>
      </c>
      <c r="I4">
        <f>L6+L7+L8+L9+L35</f>
        <v>48145</v>
      </c>
      <c r="K4" s="6" t="s">
        <v>9</v>
      </c>
      <c r="L4" s="2">
        <v>1000</v>
      </c>
      <c r="M4" s="7">
        <v>45505</v>
      </c>
    </row>
    <row r="5" spans="1:13" ht="15" thickBot="1" x14ac:dyDescent="0.35">
      <c r="F5" s="3">
        <v>45566</v>
      </c>
      <c r="G5">
        <v>19200</v>
      </c>
      <c r="H5">
        <v>38200</v>
      </c>
      <c r="I5">
        <f>L10+L11+L12+L13+L34</f>
        <v>39110</v>
      </c>
      <c r="K5" s="6" t="s">
        <v>10</v>
      </c>
      <c r="L5" s="2">
        <v>12162</v>
      </c>
      <c r="M5" s="7">
        <v>45505</v>
      </c>
    </row>
    <row r="6" spans="1:13" ht="15" thickBot="1" x14ac:dyDescent="0.35">
      <c r="F6" s="3">
        <v>45597</v>
      </c>
      <c r="G6">
        <v>14675</v>
      </c>
      <c r="H6">
        <v>18775</v>
      </c>
      <c r="I6">
        <f>L14+L15+L33</f>
        <v>35245</v>
      </c>
      <c r="K6" s="6" t="s">
        <v>11</v>
      </c>
      <c r="L6" s="2">
        <v>3000</v>
      </c>
      <c r="M6" s="7">
        <v>45536</v>
      </c>
    </row>
    <row r="7" spans="1:13" ht="17.399999999999999" customHeight="1" thickBot="1" x14ac:dyDescent="0.35">
      <c r="F7" s="3">
        <v>45627</v>
      </c>
      <c r="G7">
        <v>19450</v>
      </c>
      <c r="H7">
        <v>45800</v>
      </c>
      <c r="I7">
        <f>L16+L17+L18+L32</f>
        <v>38170</v>
      </c>
      <c r="K7" s="6" t="s">
        <v>16</v>
      </c>
      <c r="L7" s="2">
        <v>10000</v>
      </c>
      <c r="M7" s="7">
        <v>45536</v>
      </c>
    </row>
    <row r="8" spans="1:13" ht="15" thickBot="1" x14ac:dyDescent="0.35">
      <c r="F8" s="3">
        <v>45658</v>
      </c>
      <c r="G8">
        <v>21560</v>
      </c>
      <c r="H8">
        <v>28250</v>
      </c>
      <c r="I8">
        <f>L19+L20+L31</f>
        <v>35245</v>
      </c>
      <c r="K8" s="6" t="s">
        <v>8</v>
      </c>
      <c r="L8" s="2">
        <v>20483</v>
      </c>
      <c r="M8" s="7">
        <v>45536</v>
      </c>
    </row>
    <row r="9" spans="1:13" ht="15" thickBot="1" x14ac:dyDescent="0.35">
      <c r="F9" s="3">
        <v>45689</v>
      </c>
      <c r="G9">
        <v>62135</v>
      </c>
      <c r="H9">
        <v>68595</v>
      </c>
      <c r="I9">
        <f>L21+L22+L23++L30</f>
        <v>38070</v>
      </c>
      <c r="K9" s="6" t="s">
        <v>10</v>
      </c>
      <c r="L9" s="2">
        <v>12162</v>
      </c>
      <c r="M9" s="7">
        <v>45536</v>
      </c>
    </row>
    <row r="10" spans="1:13" ht="15" thickBot="1" x14ac:dyDescent="0.35">
      <c r="F10" s="3">
        <v>45717</v>
      </c>
      <c r="G10">
        <v>36515</v>
      </c>
      <c r="H10">
        <v>42630</v>
      </c>
      <c r="I10">
        <f>L24+L25+L29</f>
        <v>35245</v>
      </c>
      <c r="K10" s="6" t="s">
        <v>8</v>
      </c>
      <c r="L10" s="2">
        <v>20483</v>
      </c>
      <c r="M10" s="7">
        <v>45566</v>
      </c>
    </row>
    <row r="11" spans="1:13" ht="15" thickBot="1" x14ac:dyDescent="0.35">
      <c r="F11" s="3">
        <v>45748</v>
      </c>
      <c r="G11">
        <v>16000</v>
      </c>
      <c r="H11">
        <v>17750</v>
      </c>
      <c r="I11">
        <f>L26+L27+L28</f>
        <v>35245</v>
      </c>
      <c r="K11" s="6" t="s">
        <v>12</v>
      </c>
      <c r="L11" s="2">
        <v>3025</v>
      </c>
      <c r="M11" s="7">
        <v>45566</v>
      </c>
    </row>
    <row r="12" spans="1:13" ht="15" thickBot="1" x14ac:dyDescent="0.35">
      <c r="F12" s="1" t="s">
        <v>6</v>
      </c>
      <c r="G12" s="1">
        <f>SUM(G3:G11)</f>
        <v>241405</v>
      </c>
      <c r="H12" s="1">
        <f>SUM(H3:H11)</f>
        <v>377220</v>
      </c>
      <c r="I12" s="1">
        <f>SUM(I3:I11)</f>
        <v>340820</v>
      </c>
      <c r="K12" s="6" t="s">
        <v>10</v>
      </c>
      <c r="L12" s="2">
        <v>12162</v>
      </c>
      <c r="M12" s="7">
        <v>45566</v>
      </c>
    </row>
    <row r="13" spans="1:13" ht="15" thickBot="1" x14ac:dyDescent="0.35">
      <c r="K13" s="6" t="s">
        <v>13</v>
      </c>
      <c r="L13" s="2">
        <v>740</v>
      </c>
      <c r="M13" s="7">
        <v>45566</v>
      </c>
    </row>
    <row r="14" spans="1:13" ht="15" thickBot="1" x14ac:dyDescent="0.35">
      <c r="C14" s="1" t="s">
        <v>20</v>
      </c>
      <c r="D14" t="s">
        <v>21</v>
      </c>
      <c r="K14" s="6" t="s">
        <v>8</v>
      </c>
      <c r="L14" s="2">
        <v>20483</v>
      </c>
      <c r="M14" s="7">
        <v>45597</v>
      </c>
    </row>
    <row r="15" spans="1:13" ht="29.4" thickBot="1" x14ac:dyDescent="0.35">
      <c r="C15" s="18" t="s">
        <v>17</v>
      </c>
      <c r="D15">
        <v>75417</v>
      </c>
      <c r="K15" s="6" t="s">
        <v>10</v>
      </c>
      <c r="L15" s="2">
        <v>12162</v>
      </c>
      <c r="M15" s="7">
        <v>45597</v>
      </c>
    </row>
    <row r="16" spans="1:13" ht="15" thickBot="1" x14ac:dyDescent="0.35">
      <c r="K16" s="6" t="s">
        <v>8</v>
      </c>
      <c r="L16" s="2">
        <v>20483</v>
      </c>
      <c r="M16" s="7">
        <v>45627</v>
      </c>
    </row>
    <row r="17" spans="1:13" ht="15" thickBot="1" x14ac:dyDescent="0.35">
      <c r="K17" s="6" t="s">
        <v>10</v>
      </c>
      <c r="L17" s="2">
        <v>12162</v>
      </c>
      <c r="M17" s="7">
        <v>45627</v>
      </c>
    </row>
    <row r="18" spans="1:13" ht="15" thickBot="1" x14ac:dyDescent="0.35">
      <c r="A18" t="s">
        <v>22</v>
      </c>
      <c r="B18" t="s">
        <v>23</v>
      </c>
      <c r="K18" s="6" t="s">
        <v>12</v>
      </c>
      <c r="L18" s="2">
        <v>3025</v>
      </c>
      <c r="M18" s="7">
        <v>45627</v>
      </c>
    </row>
    <row r="19" spans="1:13" ht="15" thickBot="1" x14ac:dyDescent="0.35">
      <c r="A19" s="4" t="s">
        <v>3</v>
      </c>
      <c r="B19">
        <f>D3+Table4[Column2]</f>
        <v>282227</v>
      </c>
      <c r="K19" s="6" t="s">
        <v>8</v>
      </c>
      <c r="L19" s="2">
        <v>20483</v>
      </c>
      <c r="M19" s="7">
        <v>45658</v>
      </c>
    </row>
    <row r="20" spans="1:13" ht="15" thickBot="1" x14ac:dyDescent="0.35">
      <c r="A20" s="5" t="s">
        <v>4</v>
      </c>
      <c r="B20">
        <f>D4</f>
        <v>70995</v>
      </c>
      <c r="K20" s="6" t="s">
        <v>10</v>
      </c>
      <c r="L20" s="2">
        <v>12162</v>
      </c>
      <c r="M20" s="7">
        <v>45658</v>
      </c>
    </row>
    <row r="21" spans="1:13" ht="15" thickBot="1" x14ac:dyDescent="0.35">
      <c r="K21" s="6" t="s">
        <v>8</v>
      </c>
      <c r="L21" s="2">
        <v>20483</v>
      </c>
      <c r="M21" s="7">
        <v>45689</v>
      </c>
    </row>
    <row r="22" spans="1:13" ht="15" thickBot="1" x14ac:dyDescent="0.35">
      <c r="K22" s="6" t="s">
        <v>10</v>
      </c>
      <c r="L22" s="2">
        <v>12162</v>
      </c>
      <c r="M22" s="7">
        <v>45689</v>
      </c>
    </row>
    <row r="23" spans="1:13" ht="27.6" thickBot="1" x14ac:dyDescent="0.35">
      <c r="A23" s="14" t="s">
        <v>29</v>
      </c>
      <c r="B23" s="15" t="s">
        <v>26</v>
      </c>
      <c r="K23" s="6" t="s">
        <v>12</v>
      </c>
      <c r="L23" s="2">
        <v>3025</v>
      </c>
      <c r="M23" s="7">
        <v>45689</v>
      </c>
    </row>
    <row r="24" spans="1:13" ht="15" thickBot="1" x14ac:dyDescent="0.35">
      <c r="A24" s="16" t="s">
        <v>27</v>
      </c>
      <c r="B24" s="17">
        <v>205949</v>
      </c>
      <c r="K24" s="6" t="s">
        <v>8</v>
      </c>
      <c r="L24" s="2">
        <v>20483</v>
      </c>
      <c r="M24" s="7">
        <v>45717</v>
      </c>
    </row>
    <row r="25" spans="1:13" ht="15" thickBot="1" x14ac:dyDescent="0.35">
      <c r="A25" s="16" t="s">
        <v>28</v>
      </c>
      <c r="B25" s="17">
        <v>76278</v>
      </c>
      <c r="K25" s="6" t="s">
        <v>10</v>
      </c>
      <c r="L25" s="2">
        <v>12162</v>
      </c>
      <c r="M25" s="7">
        <v>45717</v>
      </c>
    </row>
    <row r="26" spans="1:13" ht="15" thickBot="1" x14ac:dyDescent="0.35">
      <c r="K26" s="6" t="s">
        <v>8</v>
      </c>
      <c r="L26" s="2">
        <v>20483</v>
      </c>
      <c r="M26" s="7">
        <v>45748</v>
      </c>
    </row>
    <row r="27" spans="1:13" ht="15" thickBot="1" x14ac:dyDescent="0.35">
      <c r="K27" s="6" t="s">
        <v>10</v>
      </c>
      <c r="L27" s="2">
        <v>12162</v>
      </c>
      <c r="M27" s="7">
        <v>45748</v>
      </c>
    </row>
    <row r="28" spans="1:13" ht="15" thickBot="1" x14ac:dyDescent="0.35">
      <c r="K28" s="6" t="s">
        <v>14</v>
      </c>
      <c r="L28" s="2">
        <v>2600</v>
      </c>
      <c r="M28" s="7">
        <v>45748</v>
      </c>
    </row>
    <row r="29" spans="1:13" ht="15" thickBot="1" x14ac:dyDescent="0.35">
      <c r="K29" s="6" t="s">
        <v>14</v>
      </c>
      <c r="L29" s="2">
        <v>2600</v>
      </c>
      <c r="M29" s="7">
        <v>45717</v>
      </c>
    </row>
    <row r="30" spans="1:13" ht="15" thickBot="1" x14ac:dyDescent="0.35">
      <c r="K30" s="6" t="s">
        <v>14</v>
      </c>
      <c r="L30" s="2">
        <v>2400</v>
      </c>
      <c r="M30" s="7">
        <v>45689</v>
      </c>
    </row>
    <row r="31" spans="1:13" ht="15" thickBot="1" x14ac:dyDescent="0.35">
      <c r="K31" s="6" t="s">
        <v>14</v>
      </c>
      <c r="L31" s="2">
        <v>2600</v>
      </c>
      <c r="M31" s="7">
        <v>45658</v>
      </c>
    </row>
    <row r="32" spans="1:13" ht="15" thickBot="1" x14ac:dyDescent="0.35">
      <c r="K32" s="6" t="s">
        <v>14</v>
      </c>
      <c r="L32" s="2">
        <v>2500</v>
      </c>
      <c r="M32" s="7">
        <v>45627</v>
      </c>
    </row>
    <row r="33" spans="11:13" ht="15" thickBot="1" x14ac:dyDescent="0.35">
      <c r="K33" s="6" t="s">
        <v>14</v>
      </c>
      <c r="L33" s="2">
        <v>2600</v>
      </c>
      <c r="M33" s="7">
        <v>45597</v>
      </c>
    </row>
    <row r="34" spans="11:13" ht="15" thickBot="1" x14ac:dyDescent="0.35">
      <c r="K34" s="6" t="s">
        <v>14</v>
      </c>
      <c r="L34" s="2">
        <v>2700</v>
      </c>
      <c r="M34" s="7">
        <v>45566</v>
      </c>
    </row>
    <row r="35" spans="11:13" ht="15" thickBot="1" x14ac:dyDescent="0.35">
      <c r="K35" s="6" t="s">
        <v>14</v>
      </c>
      <c r="L35" s="2">
        <v>2500</v>
      </c>
      <c r="M35" s="7">
        <v>45536</v>
      </c>
    </row>
    <row r="36" spans="11:13" x14ac:dyDescent="0.3">
      <c r="K36" s="11" t="s">
        <v>14</v>
      </c>
      <c r="L36" s="12">
        <v>2700</v>
      </c>
      <c r="M36" s="13">
        <v>45505</v>
      </c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Chepkoech</dc:creator>
  <cp:lastModifiedBy>Faith Chepkoech</cp:lastModifiedBy>
  <dcterms:created xsi:type="dcterms:W3CDTF">2026-05-16T08:03:43Z</dcterms:created>
  <dcterms:modified xsi:type="dcterms:W3CDTF">2026-05-16T10:06:13Z</dcterms:modified>
</cp:coreProperties>
</file>