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artyWorldShares" sheetId="2" r:id="rId6"/>
    <sheet state="visible" name="Sheet2" sheetId="3" r:id="rId7"/>
    <sheet state="visible" name="All Expenses" sheetId="4" r:id="rId8"/>
    <sheet state="visible" name="Order Exenses" sheetId="5" r:id="rId9"/>
    <sheet state="visible" name="Expense" sheetId="6" r:id="rId10"/>
  </sheets>
  <definedNames/>
  <calcPr/>
</workbook>
</file>

<file path=xl/sharedStrings.xml><?xml version="1.0" encoding="utf-8"?>
<sst xmlns="http://schemas.openxmlformats.org/spreadsheetml/2006/main" count="374" uniqueCount="200">
  <si>
    <t>#</t>
  </si>
  <si>
    <t>Asset</t>
  </si>
  <si>
    <t>partner</t>
  </si>
  <si>
    <t>value</t>
  </si>
  <si>
    <t>Partner</t>
  </si>
  <si>
    <t>Total</t>
  </si>
  <si>
    <t>Account</t>
  </si>
  <si>
    <t>Amount</t>
  </si>
  <si>
    <t>Share</t>
  </si>
  <si>
    <t>Good Will</t>
  </si>
  <si>
    <t>Kembois</t>
  </si>
  <si>
    <t>Profit</t>
  </si>
  <si>
    <t>Lease</t>
  </si>
  <si>
    <t>Mutais</t>
  </si>
  <si>
    <t>Reinvestment</t>
  </si>
  <si>
    <t>CCTV</t>
  </si>
  <si>
    <t>K:M</t>
  </si>
  <si>
    <t>Shared</t>
  </si>
  <si>
    <t>Stock Value</t>
  </si>
  <si>
    <t>Transfer</t>
  </si>
  <si>
    <t>Shop Renovation</t>
  </si>
  <si>
    <t>Capital</t>
  </si>
  <si>
    <t>Tiny T Loan</t>
  </si>
  <si>
    <t>Initial Ksh</t>
  </si>
  <si>
    <t>KES 1,582,605</t>
  </si>
  <si>
    <t>Group</t>
  </si>
  <si>
    <t>Stock Purchase</t>
  </si>
  <si>
    <t>Payment for Party</t>
  </si>
  <si>
    <t>Brenda</t>
  </si>
  <si>
    <t>Lump sum for party-related expenses</t>
  </si>
  <si>
    <t>KES 771,498</t>
  </si>
  <si>
    <t>Payment to FURSA MZURI LTD</t>
  </si>
  <si>
    <t>Bank A/C ****6001</t>
  </si>
  <si>
    <t>KES 21,300</t>
  </si>
  <si>
    <t>13/03/2025</t>
  </si>
  <si>
    <t>Stickers (Jane Supplier)</t>
  </si>
  <si>
    <t>Order update</t>
  </si>
  <si>
    <t>KES 191,088</t>
  </si>
  <si>
    <t>14/03/2025</t>
  </si>
  <si>
    <t>Total for additional stickers/CBM</t>
  </si>
  <si>
    <t>Fay</t>
  </si>
  <si>
    <t>Contribution: Ksh 116,754 per person</t>
  </si>
  <si>
    <t>KES 233,508</t>
  </si>
  <si>
    <t>19/03/2025</t>
  </si>
  <si>
    <t>Consolidated contribution</t>
  </si>
  <si>
    <t>Includes balances and sticker order</t>
  </si>
  <si>
    <t>KES 365,211</t>
  </si>
  <si>
    <t>40,22</t>
  </si>
  <si>
    <t>Shop Repair/Preparation</t>
  </si>
  <si>
    <t>Date</t>
  </si>
  <si>
    <t>Title/Purpose</t>
  </si>
  <si>
    <t>Paid By</t>
  </si>
  <si>
    <t>Details</t>
  </si>
  <si>
    <t>Amount (KES)</t>
  </si>
  <si>
    <t>20/03/2025</t>
  </si>
  <si>
    <t>Fundi materials</t>
  </si>
  <si>
    <t>For construction</t>
  </si>
  <si>
    <t>KES 5,100</t>
  </si>
  <si>
    <t>18/04/2025</t>
  </si>
  <si>
    <t>Banners</t>
  </si>
  <si>
    <t>To Stephen Kamau</t>
  </si>
  <si>
    <t>KES 8,000</t>
  </si>
  <si>
    <t>19/04/2025</t>
  </si>
  <si>
    <t>Black book</t>
  </si>
  <si>
    <t>To TOOP INCLUSIVE LTD</t>
  </si>
  <si>
    <t>KES 370</t>
  </si>
  <si>
    <t>Bebaa</t>
  </si>
  <si>
    <t>To Samuel Thuku</t>
  </si>
  <si>
    <t>KES 1,830</t>
  </si>
  <si>
    <t>Clear tape</t>
  </si>
  <si>
    <t>To Evanson Maina</t>
  </si>
  <si>
    <t>KES 180</t>
  </si>
  <si>
    <t>Transport</t>
  </si>
  <si>
    <t>To Jonathan Mutune</t>
  </si>
  <si>
    <t>KES 4,500</t>
  </si>
  <si>
    <t>Marker pen</t>
  </si>
  <si>
    <t>TOOP Inclusive</t>
  </si>
  <si>
    <t>KES 30</t>
  </si>
  <si>
    <t>Soda</t>
  </si>
  <si>
    <t>Century Baby Shop</t>
  </si>
  <si>
    <t>KES 400</t>
  </si>
  <si>
    <t>Food</t>
  </si>
  <si>
    <t>To Faith Chepkoech</t>
  </si>
  <si>
    <t>KES 3,700</t>
  </si>
  <si>
    <t>Counting</t>
  </si>
  <si>
    <t>Team of 5 members</t>
  </si>
  <si>
    <t>23/04/2025</t>
  </si>
  <si>
    <t>Receipt books</t>
  </si>
  <si>
    <t>Prisca Regina</t>
  </si>
  <si>
    <t>26/04/2025</t>
  </si>
  <si>
    <t>To Henry Waiti</t>
  </si>
  <si>
    <t>KES 2,500</t>
  </si>
  <si>
    <t>Paid by cash</t>
  </si>
  <si>
    <t>KES 1,000</t>
  </si>
  <si>
    <t>Lunch</t>
  </si>
  <si>
    <t>Partial payment (cash)</t>
  </si>
  <si>
    <t>KES 1,250</t>
  </si>
  <si>
    <t>Team of 3</t>
  </si>
  <si>
    <t>28/04/2025</t>
  </si>
  <si>
    <t>Store bulb</t>
  </si>
  <si>
    <t>To Virginiah Nduku</t>
  </si>
  <si>
    <t>KES 300</t>
  </si>
  <si>
    <t>29/04/2025</t>
  </si>
  <si>
    <t>Kipkoech Brian</t>
  </si>
  <si>
    <t>KES 500</t>
  </si>
  <si>
    <t>Totals</t>
  </si>
  <si>
    <t>KES 50,660</t>
  </si>
  <si>
    <t>Running Costs</t>
  </si>
  <si>
    <t>Tokens</t>
  </si>
  <si>
    <t>KES 3,025</t>
  </si>
  <si>
    <t>May Rent</t>
  </si>
  <si>
    <t>STAR SHOPPING MALL LTD</t>
  </si>
  <si>
    <t>KES 20,416</t>
  </si>
  <si>
    <t>Christine’s April salary</t>
  </si>
  <si>
    <t>KES 12,162</t>
  </si>
  <si>
    <t>30/05/2025</t>
  </si>
  <si>
    <t>Stock / Operating cost</t>
  </si>
  <si>
    <t>KES 20,483</t>
  </si>
  <si>
    <t>31/05/2025</t>
  </si>
  <si>
    <t>Shop Phone</t>
  </si>
  <si>
    <t>Born Technologies</t>
  </si>
  <si>
    <t>KES 15,000</t>
  </si>
  <si>
    <t>June Rent</t>
  </si>
  <si>
    <t>Salary (May)</t>
  </si>
  <si>
    <t>KES 103,664</t>
  </si>
  <si>
    <t>Grand total</t>
  </si>
  <si>
    <t>KES 1,736,929</t>
  </si>
  <si>
    <t>DATE</t>
  </si>
  <si>
    <t>PERSON</t>
  </si>
  <si>
    <t>DESC</t>
  </si>
  <si>
    <t>YEN</t>
  </si>
  <si>
    <t>KSH</t>
  </si>
  <si>
    <t>Order 1</t>
  </si>
  <si>
    <t>Party Supplies</t>
  </si>
  <si>
    <t>KES 762,925.80</t>
  </si>
  <si>
    <t>CBM Order 1</t>
  </si>
  <si>
    <t>KES 210,840</t>
  </si>
  <si>
    <t>Order2</t>
  </si>
  <si>
    <t>KES 779,462</t>
  </si>
  <si>
    <t>CBM Order 2</t>
  </si>
  <si>
    <t>Stickers</t>
  </si>
  <si>
    <t>KES 239,400</t>
  </si>
  <si>
    <t>Order 3</t>
  </si>
  <si>
    <t>KES 188,964</t>
  </si>
  <si>
    <t>CBM Order 3</t>
  </si>
  <si>
    <t>KES 42,000</t>
  </si>
  <si>
    <t>Actual Payments</t>
  </si>
  <si>
    <t>CODE</t>
  </si>
  <si>
    <t>Person</t>
  </si>
  <si>
    <t>X3093EE8911F6</t>
  </si>
  <si>
    <t>CBM</t>
  </si>
  <si>
    <t>Faith</t>
  </si>
  <si>
    <t>CJT25031201</t>
  </si>
  <si>
    <t>OK</t>
  </si>
  <si>
    <t>CHR25031604</t>
  </si>
  <si>
    <t>CJT25032104</t>
  </si>
  <si>
    <t>CRH25031604</t>
  </si>
  <si>
    <t>CRH25031406</t>
  </si>
  <si>
    <t>65000,00</t>
  </si>
  <si>
    <t>Total Paid</t>
  </si>
  <si>
    <t>Diff</t>
  </si>
  <si>
    <t>Shop Expeses</t>
  </si>
  <si>
    <t>payment plan</t>
  </si>
  <si>
    <t>Kemboi's Loan</t>
  </si>
  <si>
    <t>Status</t>
  </si>
  <si>
    <t>Shop Loan</t>
  </si>
  <si>
    <t>15/08/25</t>
  </si>
  <si>
    <t>paid</t>
  </si>
  <si>
    <t>item</t>
  </si>
  <si>
    <t>Expense</t>
  </si>
  <si>
    <t>Item</t>
  </si>
  <si>
    <t>28/06/26</t>
  </si>
  <si>
    <t>16/05/25</t>
  </si>
  <si>
    <t>GoodWill</t>
  </si>
  <si>
    <t>18/04/25</t>
  </si>
  <si>
    <t>Shops Banner</t>
  </si>
  <si>
    <t>19/04/25</t>
  </si>
  <si>
    <t>Beba</t>
  </si>
  <si>
    <t>Tape</t>
  </si>
  <si>
    <t>Black Book</t>
  </si>
  <si>
    <t>Stock takes Labour</t>
  </si>
  <si>
    <t>Hammer and Nails</t>
  </si>
  <si>
    <t>20/03/25</t>
  </si>
  <si>
    <t>Storage Materials</t>
  </si>
  <si>
    <t>22/03/25</t>
  </si>
  <si>
    <t>Storage Labour</t>
  </si>
  <si>
    <t>23/04/25</t>
  </si>
  <si>
    <t>Receipt Book</t>
  </si>
  <si>
    <t>26/04/25</t>
  </si>
  <si>
    <t>Stock take Labour and Lunch</t>
  </si>
  <si>
    <t>29/04/25</t>
  </si>
  <si>
    <t>Storage Org and Lunch</t>
  </si>
  <si>
    <t>30/04/25</t>
  </si>
  <si>
    <t>31/03/25</t>
  </si>
  <si>
    <t>Light Accessories</t>
  </si>
  <si>
    <t>Lights Labour</t>
  </si>
  <si>
    <t>Store Repair</t>
  </si>
  <si>
    <t>17/05/25</t>
  </si>
  <si>
    <t>31/05/25</t>
  </si>
  <si>
    <t>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</si>
</sst>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d/mmm/yy"/>
    <numFmt numFmtId="166" formatCode="#,##0.00;(#,##0.00)"/>
    <numFmt numFmtId="167" formatCode="d&quot;/&quot;m&quot;/&quot;yy"/>
    <numFmt numFmtId="168" formatCode="mm/dd/yy"/>
  </numFmts>
  <fonts count="10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sz val="11.0"/>
      <color rgb="FF000000"/>
      <name val="&quot;Segoe UI&quot;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0000"/>
      <name val="&quot;Helvetica Neue&quot;"/>
    </font>
    <font>
      <b/>
      <color theme="1"/>
      <name val="Arial"/>
      <scheme val="minor"/>
    </font>
    <font/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1F2"/>
        <bgColor rgb="FFD9E1F2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1" fillId="3" fontId="1" numFmtId="0" xfId="0" applyAlignment="1" applyBorder="1" applyFill="1" applyFont="1">
      <alignment readingOrder="0"/>
    </xf>
    <xf borderId="0" fillId="0" fontId="2" numFmtId="0" xfId="0" applyFont="1"/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7" fontId="2" numFmtId="0" xfId="0" applyAlignment="1" applyBorder="1" applyFill="1" applyFont="1">
      <alignment readingOrder="0"/>
    </xf>
    <xf borderId="1" fillId="8" fontId="3" numFmtId="0" xfId="0" applyAlignment="1" applyBorder="1" applyFill="1" applyFont="1">
      <alignment horizontal="left"/>
    </xf>
    <xf borderId="1" fillId="0" fontId="2" numFmtId="0" xfId="0" applyBorder="1" applyFont="1"/>
    <xf borderId="0" fillId="0" fontId="2" numFmtId="10" xfId="0" applyFont="1" applyNumberForma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7" fontId="2" numFmtId="0" xfId="0" applyFont="1"/>
    <xf borderId="2" fillId="9" fontId="5" numFmtId="0" xfId="0" applyAlignment="1" applyBorder="1" applyFill="1" applyFont="1">
      <alignment horizontal="right" readingOrder="0" shrinkToFit="0" vertical="bottom" wrapText="0"/>
    </xf>
    <xf borderId="0" fillId="0" fontId="4" numFmtId="3" xfId="0" applyAlignment="1" applyFont="1" applyNumberFormat="1">
      <alignment readingOrder="0"/>
    </xf>
    <xf borderId="0" fillId="0" fontId="4" numFmtId="0" xfId="0" applyFont="1"/>
    <xf borderId="0" fillId="0" fontId="6" numFmtId="0" xfId="0" applyAlignment="1" applyFont="1">
      <alignment horizontal="center" shrinkToFit="0" vertical="top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center" readingOrder="0" shrinkToFit="0" vertical="top" wrapText="0"/>
    </xf>
    <xf borderId="0" fillId="0" fontId="6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3" xfId="0" applyAlignment="1" applyFont="1" applyNumberFormat="1">
      <alignment readingOrder="0" shrinkToFit="0" vertical="bottom" wrapText="0"/>
    </xf>
    <xf borderId="1" fillId="0" fontId="6" numFmtId="0" xfId="0" applyAlignment="1" applyBorder="1" applyFont="1">
      <alignment horizontal="center" readingOrder="0" shrinkToFit="0" vertical="top" wrapText="0"/>
    </xf>
    <xf borderId="3" fillId="0" fontId="6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6" numFmtId="4" xfId="0" applyAlignment="1" applyFont="1" applyNumberFormat="1">
      <alignment readingOrder="0" shrinkToFit="0" vertical="bottom" wrapText="0"/>
    </xf>
    <xf borderId="0" fillId="0" fontId="5" numFmtId="165" xfId="0" applyAlignment="1" applyFont="1" applyNumberFormat="1">
      <alignment horizontal="right" readingOrder="0" shrinkToFit="0" vertical="bottom" wrapText="0"/>
    </xf>
    <xf borderId="0" fillId="0" fontId="5" numFmtId="4" xfId="0" applyAlignment="1" applyFont="1" applyNumberFormat="1">
      <alignment readingOrder="0" shrinkToFit="0" vertical="bottom" wrapText="0"/>
    </xf>
    <xf borderId="0" fillId="0" fontId="5" numFmtId="3" xfId="0" applyAlignment="1" applyFont="1" applyNumberFormat="1">
      <alignment horizontal="left" readingOrder="0" shrinkToFit="0" vertical="bottom" wrapText="0"/>
    </xf>
    <xf borderId="0" fillId="0" fontId="6" numFmtId="3" xfId="0" applyAlignment="1" applyFont="1" applyNumberFormat="1">
      <alignment horizontal="left" readingOrder="0" shrinkToFit="0" vertical="bottom" wrapText="0"/>
    </xf>
    <xf borderId="0" fillId="0" fontId="7" numFmtId="3" xfId="0" applyAlignment="1" applyFont="1" applyNumberFormat="1">
      <alignment horizontal="right" readingOrder="0" shrinkToFit="0" vertical="bottom" wrapText="0"/>
    </xf>
    <xf borderId="1" fillId="0" fontId="6" numFmtId="0" xfId="0" applyAlignment="1" applyBorder="1" applyFont="1">
      <alignment horizontal="center" shrinkToFit="0" vertical="top" wrapText="0"/>
    </xf>
    <xf borderId="3" fillId="0" fontId="6" numFmtId="0" xfId="0" applyAlignment="1" applyBorder="1" applyFont="1">
      <alignment horizontal="center" shrinkToFit="0" vertical="top" wrapText="0"/>
    </xf>
    <xf borderId="0" fillId="0" fontId="8" numFmtId="0" xfId="0" applyAlignment="1" applyFont="1">
      <alignment readingOrder="0"/>
    </xf>
    <xf borderId="4" fillId="0" fontId="8" numFmtId="0" xfId="0" applyAlignment="1" applyBorder="1" applyFont="1">
      <alignment readingOrder="0"/>
    </xf>
    <xf borderId="5" fillId="0" fontId="9" numFmtId="0" xfId="0" applyBorder="1" applyFont="1"/>
    <xf borderId="3" fillId="0" fontId="9" numFmtId="0" xfId="0" applyBorder="1" applyFont="1"/>
    <xf borderId="1" fillId="0" fontId="8" numFmtId="0" xfId="0" applyAlignment="1" applyBorder="1" applyFont="1">
      <alignment readingOrder="0"/>
    </xf>
    <xf borderId="1" fillId="0" fontId="8" numFmtId="166" xfId="0" applyAlignment="1" applyBorder="1" applyFont="1" applyNumberFormat="1">
      <alignment readingOrder="0"/>
    </xf>
    <xf borderId="1" fillId="0" fontId="4" numFmtId="0" xfId="0" applyBorder="1" applyFont="1"/>
    <xf borderId="1" fillId="0" fontId="8" numFmtId="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4" xfId="0" applyAlignment="1" applyBorder="1" applyFont="1" applyNumberFormat="1">
      <alignment readingOrder="0"/>
    </xf>
    <xf borderId="0" fillId="0" fontId="8" numFmtId="0" xfId="0" applyAlignment="1" applyFont="1">
      <alignment horizontal="left" readingOrder="0" shrinkToFit="0" vertical="center" wrapText="0"/>
    </xf>
    <xf borderId="1" fillId="0" fontId="4" numFmtId="167" xfId="0" applyAlignment="1" applyBorder="1" applyFont="1" applyNumberFormat="1">
      <alignment readingOrder="0" shrinkToFit="0" vertical="center" wrapText="0"/>
    </xf>
    <xf borderId="1" fillId="0" fontId="4" numFmtId="166" xfId="0" applyAlignment="1" applyBorder="1" applyFont="1" applyNumberFormat="1">
      <alignment readingOrder="0" shrinkToFit="0" vertical="center" wrapText="0"/>
    </xf>
    <xf borderId="1" fillId="0" fontId="4" numFmtId="168" xfId="0" applyAlignment="1" applyBorder="1" applyFont="1" applyNumberFormat="1">
      <alignment readingOrder="0" shrinkToFit="0" vertical="center" wrapText="0"/>
    </xf>
    <xf borderId="1" fillId="0" fontId="4" numFmtId="4" xfId="0" applyAlignment="1" applyBorder="1" applyFont="1" applyNumberForma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4" numFmtId="166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6" xfId="0" applyAlignment="1" applyFont="1" applyNumberFormat="1">
      <alignment readingOrder="0" shrinkToFit="0" vertical="center" wrapText="0"/>
    </xf>
    <xf borderId="0" fillId="0" fontId="4" numFmtId="167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Expen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C32" displayName="Table1" name="Table1" id="1">
  <tableColumns count="3">
    <tableColumn name="Date" id="1"/>
    <tableColumn name="item" id="2"/>
    <tableColumn name="Expense" id="3"/>
  </tableColumns>
  <tableStyleInfo name="Expense-style" showColumnStripes="0" showFirstColumn="1" showLastColumn="1" showRowStripes="1"/>
</table>
</file>

<file path=xl/tables/table2.xml><?xml version="1.0" encoding="utf-8"?>
<table xmlns="http://schemas.openxmlformats.org/spreadsheetml/2006/main" ref="E6:G9" displayName="Table2" name="Table2" id="2">
  <tableColumns count="3">
    <tableColumn name="Date" id="1"/>
    <tableColumn name="Item" id="2"/>
    <tableColumn name="Expense" id="3"/>
  </tableColumns>
  <tableStyleInfo name="Expense-style 2" showColumnStripes="0" showFirstColumn="1" showLastColumn="1" showRowStripes="1"/>
</table>
</file>

<file path=xl/tables/table3.xml><?xml version="1.0" encoding="utf-8"?>
<table xmlns="http://schemas.openxmlformats.org/spreadsheetml/2006/main" ref="I6:K9" displayName="Table3" name="Table3" id="3">
  <tableColumns count="3">
    <tableColumn name="Date" id="1"/>
    <tableColumn name="Item" id="2"/>
    <tableColumn name="Expense" id="3"/>
  </tableColumns>
  <tableStyleInfo name="Expense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2" max="2" width="13.75"/>
    <col customWidth="1" min="3" max="3" width="7.13"/>
    <col customWidth="1" min="4" max="4" width="7.5"/>
    <col customWidth="1" min="5" max="5" width="3.63"/>
    <col customWidth="1" min="7" max="7" width="16.0"/>
    <col customWidth="1" min="8" max="8" width="5.25"/>
    <col customWidth="1" min="11" max="11" width="3.5"/>
  </cols>
  <sheetData>
    <row r="1" ht="11.25" customHeight="1">
      <c r="A1" s="1"/>
      <c r="B1" s="1"/>
      <c r="C1" s="1"/>
      <c r="D1" s="1"/>
      <c r="E1" s="2"/>
      <c r="F1" s="1"/>
      <c r="G1" s="1"/>
      <c r="H1" s="2"/>
      <c r="I1" s="1"/>
      <c r="J1" s="1"/>
      <c r="K1" s="2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6.25" customHeight="1">
      <c r="A2" s="3" t="s">
        <v>0</v>
      </c>
      <c r="B2" s="3" t="s">
        <v>1</v>
      </c>
      <c r="C2" s="3" t="s">
        <v>2</v>
      </c>
      <c r="D2" s="3" t="s">
        <v>3</v>
      </c>
      <c r="E2" s="4"/>
      <c r="F2" s="5" t="s">
        <v>4</v>
      </c>
      <c r="G2" s="5" t="s">
        <v>5</v>
      </c>
      <c r="H2" s="4"/>
      <c r="I2" s="6" t="s">
        <v>6</v>
      </c>
      <c r="J2" s="6" t="s">
        <v>7</v>
      </c>
      <c r="K2" s="4"/>
      <c r="L2" s="7" t="s">
        <v>4</v>
      </c>
      <c r="M2" s="7" t="s">
        <v>8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8">
        <v>1.0</v>
      </c>
      <c r="B3" s="8" t="s">
        <v>9</v>
      </c>
      <c r="C3" s="8" t="s">
        <v>10</v>
      </c>
      <c r="D3" s="9">
        <v>1700000.0</v>
      </c>
      <c r="E3" s="4"/>
      <c r="F3" s="8" t="s">
        <v>10</v>
      </c>
      <c r="G3" s="10">
        <f>SUMIF(C:C, "Kembois", D:D)</f>
        <v>2363150</v>
      </c>
      <c r="H3" s="4"/>
      <c r="I3" s="8" t="s">
        <v>11</v>
      </c>
      <c r="J3" s="8">
        <f>2036000+1200000</f>
        <v>3236000</v>
      </c>
      <c r="K3" s="4"/>
      <c r="L3" s="8" t="s">
        <v>10</v>
      </c>
      <c r="M3" s="11">
        <f>round($J$5*((G3/(sum(G3, G4)))),0)</f>
        <v>2273807</v>
      </c>
      <c r="N3" s="12">
        <f>(M3/J5)</f>
        <v>0.7026597651</v>
      </c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8">
        <v>2.0</v>
      </c>
      <c r="B4" s="8" t="s">
        <v>12</v>
      </c>
      <c r="C4" s="8" t="s">
        <v>10</v>
      </c>
      <c r="D4" s="8">
        <v>100000.0</v>
      </c>
      <c r="E4" s="4"/>
      <c r="F4" s="8" t="s">
        <v>13</v>
      </c>
      <c r="G4" s="10">
        <f>SUMIF(C:C, "Mutais", D:D)</f>
        <v>1000000</v>
      </c>
      <c r="H4" s="4"/>
      <c r="I4" s="8" t="s">
        <v>14</v>
      </c>
      <c r="J4" s="11">
        <f>0*J3</f>
        <v>0</v>
      </c>
      <c r="K4" s="4"/>
      <c r="L4" s="8" t="s">
        <v>13</v>
      </c>
      <c r="M4" s="11">
        <f>round($J$5*((G4/(sum(G3, G4)))),0)</f>
        <v>962193</v>
      </c>
      <c r="N4" s="12">
        <f>(M4/J5)</f>
        <v>0.2973402349</v>
      </c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8">
        <v>3.0</v>
      </c>
      <c r="B5" s="8" t="s">
        <v>15</v>
      </c>
      <c r="C5" s="8" t="s">
        <v>10</v>
      </c>
      <c r="D5" s="8">
        <v>25000.0</v>
      </c>
      <c r="E5" s="4"/>
      <c r="F5" s="8" t="s">
        <v>16</v>
      </c>
      <c r="G5" s="11" t="str">
        <f>G3/G4&amp;":"&amp;G4/G4</f>
        <v>2.36315:1</v>
      </c>
      <c r="H5" s="4"/>
      <c r="I5" s="8" t="s">
        <v>17</v>
      </c>
      <c r="J5" s="11">
        <f>J3-J4</f>
        <v>3236000</v>
      </c>
      <c r="K5" s="4"/>
      <c r="L5" s="13"/>
      <c r="M5" s="13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8">
        <v>4.0</v>
      </c>
      <c r="B6" s="8" t="s">
        <v>18</v>
      </c>
      <c r="C6" s="8" t="s">
        <v>10</v>
      </c>
      <c r="D6" s="8">
        <v>583411.0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8">
        <v>5.0</v>
      </c>
      <c r="B7" s="8" t="s">
        <v>19</v>
      </c>
      <c r="C7" s="8" t="s">
        <v>10</v>
      </c>
      <c r="D7" s="8">
        <v>100000.0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4">
        <v>6.0</v>
      </c>
      <c r="B8" s="8" t="s">
        <v>20</v>
      </c>
      <c r="C8" s="8" t="s">
        <v>10</v>
      </c>
      <c r="D8" s="8">
        <v>15000.0</v>
      </c>
      <c r="E8" s="4"/>
      <c r="F8" s="4"/>
      <c r="G8" s="4"/>
      <c r="H8" s="4"/>
      <c r="I8" s="4">
        <f>1200000-M4</f>
        <v>237807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8">
        <v>7.0</v>
      </c>
      <c r="B9" s="8" t="s">
        <v>21</v>
      </c>
      <c r="C9" s="8" t="s">
        <v>13</v>
      </c>
      <c r="D9" s="8">
        <v>1000000.0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8">
        <v>8.0</v>
      </c>
      <c r="B10" s="8" t="s">
        <v>22</v>
      </c>
      <c r="C10" s="8" t="s">
        <v>10</v>
      </c>
      <c r="D10" s="8">
        <v>-160261.0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1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2" max="2" width="13.75"/>
    <col customWidth="1" min="3" max="3" width="7.13"/>
    <col customWidth="1" min="4" max="4" width="7.5"/>
    <col customWidth="1" min="5" max="5" width="3.63"/>
    <col customWidth="1" min="7" max="7" width="16.0"/>
    <col customWidth="1" min="8" max="8" width="5.25"/>
    <col customWidth="1" min="11" max="11" width="3.5"/>
  </cols>
  <sheetData>
    <row r="1" ht="11.25" customHeight="1">
      <c r="A1" s="1"/>
      <c r="B1" s="1"/>
      <c r="C1" s="1"/>
      <c r="D1" s="1"/>
      <c r="E1" s="2"/>
      <c r="F1" s="1"/>
      <c r="G1" s="1"/>
      <c r="H1" s="2"/>
      <c r="I1" s="1"/>
      <c r="J1" s="1"/>
      <c r="K1" s="2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6.25" customHeight="1">
      <c r="A2" s="3" t="s">
        <v>0</v>
      </c>
      <c r="B2" s="3" t="s">
        <v>1</v>
      </c>
      <c r="C2" s="3" t="s">
        <v>2</v>
      </c>
      <c r="D2" s="3" t="s">
        <v>3</v>
      </c>
      <c r="E2" s="4"/>
      <c r="F2" s="5" t="s">
        <v>4</v>
      </c>
      <c r="G2" s="5" t="s">
        <v>5</v>
      </c>
      <c r="H2" s="4"/>
      <c r="I2" s="6" t="s">
        <v>6</v>
      </c>
      <c r="J2" s="6" t="s">
        <v>7</v>
      </c>
      <c r="K2" s="4"/>
      <c r="L2" s="7" t="s">
        <v>4</v>
      </c>
      <c r="M2" s="7" t="s">
        <v>8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8">
        <v>1.0</v>
      </c>
      <c r="B3" s="8" t="s">
        <v>9</v>
      </c>
      <c r="C3" s="8" t="s">
        <v>10</v>
      </c>
      <c r="D3" s="9">
        <v>1600000.0</v>
      </c>
      <c r="E3" s="4"/>
      <c r="F3" s="8" t="s">
        <v>10</v>
      </c>
      <c r="G3" s="10">
        <f>SUMIF(C:C, "Kembois", D:D)</f>
        <v>2700000</v>
      </c>
      <c r="H3" s="4"/>
      <c r="I3" s="8" t="s">
        <v>11</v>
      </c>
      <c r="J3" s="16">
        <v>282227.0</v>
      </c>
      <c r="K3" s="4"/>
      <c r="L3" s="8" t="s">
        <v>10</v>
      </c>
      <c r="M3" s="11">
        <f>round($J$5*((G3/(sum(G3, G4)))),0)</f>
        <v>205949</v>
      </c>
      <c r="N3" s="12">
        <f>G3/(G3+G4)</f>
        <v>0.7297297297</v>
      </c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8">
        <v>2.0</v>
      </c>
      <c r="B4" s="8" t="s">
        <v>12</v>
      </c>
      <c r="C4" s="8" t="s">
        <v>10</v>
      </c>
      <c r="D4" s="8">
        <v>100000.0</v>
      </c>
      <c r="E4" s="4"/>
      <c r="F4" s="8" t="s">
        <v>13</v>
      </c>
      <c r="G4" s="10">
        <f>SUMIF(C:C, "Mutais", D:D)</f>
        <v>1000000</v>
      </c>
      <c r="H4" s="4"/>
      <c r="I4" s="8" t="s">
        <v>14</v>
      </c>
      <c r="J4" s="11">
        <f>0*J3</f>
        <v>0</v>
      </c>
      <c r="K4" s="4"/>
      <c r="L4" s="8" t="s">
        <v>13</v>
      </c>
      <c r="M4" s="11">
        <f>round($J$5*((G4/(sum(G3, G4)))),0)</f>
        <v>76278</v>
      </c>
      <c r="N4" s="12">
        <f>G4/(G4+G3)</f>
        <v>0.2702702703</v>
      </c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8"/>
      <c r="B5" s="8" t="s">
        <v>9</v>
      </c>
      <c r="C5" s="8" t="s">
        <v>13</v>
      </c>
      <c r="D5" s="8">
        <v>0.0</v>
      </c>
      <c r="E5" s="4"/>
      <c r="F5" s="8" t="s">
        <v>16</v>
      </c>
      <c r="G5" s="11" t="str">
        <f>G3/G4&amp;":"&amp;G4/G4</f>
        <v>2.7:1</v>
      </c>
      <c r="H5" s="4"/>
      <c r="I5" s="8" t="s">
        <v>17</v>
      </c>
      <c r="J5" s="11">
        <f>J3-J4</f>
        <v>282227</v>
      </c>
      <c r="K5" s="4"/>
      <c r="L5" s="13"/>
      <c r="M5" s="13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8"/>
      <c r="B6" s="8" t="s">
        <v>12</v>
      </c>
      <c r="C6" s="8" t="s">
        <v>13</v>
      </c>
      <c r="D6" s="8">
        <v>0.0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8">
        <v>4.0</v>
      </c>
      <c r="B7" s="8" t="s">
        <v>18</v>
      </c>
      <c r="C7" s="8" t="s">
        <v>10</v>
      </c>
      <c r="D7" s="8">
        <v>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8">
        <v>5.0</v>
      </c>
      <c r="B8" s="8" t="s">
        <v>19</v>
      </c>
      <c r="C8" s="8" t="s">
        <v>10</v>
      </c>
      <c r="D8" s="8">
        <v>0.0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14">
        <v>6.0</v>
      </c>
      <c r="B9" s="8" t="s">
        <v>20</v>
      </c>
      <c r="C9" s="8" t="s">
        <v>10</v>
      </c>
      <c r="D9" s="8">
        <v>0.0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8">
        <v>7.0</v>
      </c>
      <c r="B10" s="8" t="s">
        <v>21</v>
      </c>
      <c r="C10" s="8" t="s">
        <v>13</v>
      </c>
      <c r="D10" s="8">
        <v>1000000.0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8">
        <v>8.0</v>
      </c>
      <c r="B11" s="8" t="s">
        <v>21</v>
      </c>
      <c r="C11" s="8" t="s">
        <v>10</v>
      </c>
      <c r="D11" s="8">
        <v>1000000.0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8">
        <v>8.0</v>
      </c>
      <c r="B12" s="8" t="s">
        <v>22</v>
      </c>
      <c r="C12" s="8" t="s">
        <v>10</v>
      </c>
      <c r="D12" s="8">
        <v>0.0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1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>
      <c r="A1004" s="4"/>
      <c r="B1004" s="4"/>
      <c r="C1004" s="4"/>
      <c r="D1004" s="4"/>
      <c r="E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>
        <v>30000.0</v>
      </c>
      <c r="B1" s="14">
        <v>1500000.0</v>
      </c>
      <c r="C1" s="14">
        <v>2500000.0</v>
      </c>
    </row>
    <row r="2">
      <c r="B2" s="18" t="str">
        <f>$B$1/$A$1&amp;" Months"</f>
        <v>50 Months</v>
      </c>
      <c r="C2" s="18" t="str">
        <f>Round($C$1/$A$1,2)&amp;" Months"</f>
        <v>83.33 Months</v>
      </c>
    </row>
    <row r="3">
      <c r="B3" s="18" t="str">
        <f>round($B$1/$A$1/12,2)&amp;" Years"</f>
        <v>4.17 Years</v>
      </c>
      <c r="C3" s="18" t="str">
        <f>round($C$1/$A$1/12,2)&amp;" Years"</f>
        <v>6.94 Years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5.13"/>
    <col customWidth="1" min="3" max="3" width="11.63"/>
    <col customWidth="1" min="4" max="4" width="28.88"/>
    <col customWidth="1" min="5" max="5" width="11.63"/>
    <col customWidth="1" min="7" max="7" width="8.5"/>
    <col customWidth="1" min="8" max="8" width="5.25"/>
  </cols>
  <sheetData>
    <row r="1">
      <c r="A1" s="19"/>
      <c r="B1" s="19"/>
      <c r="C1" s="19"/>
      <c r="D1" s="19"/>
      <c r="E1" s="19"/>
      <c r="F1" s="20"/>
      <c r="G1" s="20"/>
      <c r="H1" s="20"/>
    </row>
    <row r="2">
      <c r="A2" s="19"/>
      <c r="B2" s="21" t="s">
        <v>23</v>
      </c>
      <c r="C2" s="22" t="s">
        <v>24</v>
      </c>
      <c r="D2" s="19"/>
      <c r="E2" s="19"/>
      <c r="F2" s="20"/>
      <c r="G2" s="20"/>
      <c r="H2" s="20"/>
    </row>
    <row r="3">
      <c r="A3" s="19"/>
      <c r="B3" s="19"/>
      <c r="C3" s="19"/>
      <c r="D3" s="19"/>
      <c r="E3" s="19"/>
      <c r="F3" s="20"/>
      <c r="G3" s="20"/>
      <c r="H3" s="20"/>
    </row>
    <row r="4">
      <c r="A4" s="21" t="s">
        <v>25</v>
      </c>
      <c r="B4" s="21" t="s">
        <v>26</v>
      </c>
      <c r="C4" s="19"/>
      <c r="D4" s="19"/>
      <c r="E4" s="19"/>
      <c r="F4" s="20"/>
      <c r="G4" s="20"/>
      <c r="H4" s="20"/>
    </row>
    <row r="5">
      <c r="A5" s="19"/>
      <c r="B5" s="19"/>
      <c r="C5" s="19"/>
      <c r="D5" s="19"/>
      <c r="E5" s="19"/>
      <c r="F5" s="20"/>
      <c r="G5" s="20"/>
      <c r="H5" s="20"/>
    </row>
    <row r="6">
      <c r="A6" s="23">
        <v>45964.0</v>
      </c>
      <c r="B6" s="24" t="s">
        <v>27</v>
      </c>
      <c r="C6" s="24" t="s">
        <v>28</v>
      </c>
      <c r="D6" s="24" t="s">
        <v>29</v>
      </c>
      <c r="E6" s="24" t="s">
        <v>30</v>
      </c>
      <c r="F6" s="20"/>
      <c r="G6" s="20"/>
      <c r="H6" s="20"/>
    </row>
    <row r="7">
      <c r="A7" s="23">
        <v>45994.0</v>
      </c>
      <c r="B7" s="24" t="s">
        <v>31</v>
      </c>
      <c r="C7" s="24" t="s">
        <v>28</v>
      </c>
      <c r="D7" s="24" t="s">
        <v>32</v>
      </c>
      <c r="E7" s="24" t="s">
        <v>33</v>
      </c>
      <c r="F7" s="20"/>
      <c r="G7" s="20"/>
      <c r="H7" s="20"/>
    </row>
    <row r="8">
      <c r="A8" s="24" t="s">
        <v>34</v>
      </c>
      <c r="B8" s="24" t="s">
        <v>35</v>
      </c>
      <c r="C8" s="24" t="s">
        <v>28</v>
      </c>
      <c r="D8" s="24" t="s">
        <v>36</v>
      </c>
      <c r="E8" s="24" t="s">
        <v>37</v>
      </c>
      <c r="F8" s="20"/>
      <c r="G8" s="20"/>
      <c r="H8" s="20"/>
    </row>
    <row r="9">
      <c r="A9" s="24" t="s">
        <v>38</v>
      </c>
      <c r="B9" s="24" t="s">
        <v>39</v>
      </c>
      <c r="C9" s="24" t="s">
        <v>40</v>
      </c>
      <c r="D9" s="24" t="s">
        <v>41</v>
      </c>
      <c r="E9" s="24" t="s">
        <v>42</v>
      </c>
      <c r="F9" s="20"/>
      <c r="G9" s="20"/>
      <c r="H9" s="20"/>
    </row>
    <row r="10">
      <c r="A10" s="24" t="s">
        <v>43</v>
      </c>
      <c r="B10" s="24" t="s">
        <v>44</v>
      </c>
      <c r="C10" s="24" t="s">
        <v>40</v>
      </c>
      <c r="D10" s="24" t="s">
        <v>45</v>
      </c>
      <c r="E10" s="24" t="s">
        <v>46</v>
      </c>
      <c r="F10" s="20"/>
      <c r="G10" s="20"/>
      <c r="H10" s="20"/>
    </row>
    <row r="11">
      <c r="A11" s="20"/>
      <c r="B11" s="20"/>
      <c r="C11" s="20"/>
      <c r="D11" s="20"/>
      <c r="E11" s="20"/>
      <c r="F11" s="20"/>
      <c r="G11" s="20"/>
      <c r="H11" s="20"/>
    </row>
    <row r="12">
      <c r="A12" s="20"/>
      <c r="B12" s="20"/>
      <c r="C12" s="20"/>
      <c r="D12" s="20"/>
      <c r="E12" s="20"/>
      <c r="F12" s="20"/>
      <c r="G12" s="20"/>
      <c r="H12" s="20"/>
    </row>
    <row r="13">
      <c r="A13" s="20"/>
      <c r="B13" s="20"/>
      <c r="C13" s="20"/>
      <c r="D13" s="20"/>
      <c r="E13" s="20"/>
      <c r="F13" s="20"/>
      <c r="G13" s="20"/>
      <c r="H13" s="20"/>
    </row>
    <row r="14">
      <c r="A14" s="22" t="s">
        <v>5</v>
      </c>
      <c r="B14" s="25"/>
      <c r="C14" s="25"/>
      <c r="D14" s="25"/>
      <c r="E14" s="22" t="s">
        <v>24</v>
      </c>
      <c r="F14" s="25"/>
      <c r="G14" s="26">
        <v>1542387.0</v>
      </c>
      <c r="H14" s="22" t="s">
        <v>47</v>
      </c>
    </row>
    <row r="15">
      <c r="A15" s="21" t="s">
        <v>25</v>
      </c>
      <c r="B15" s="22" t="s">
        <v>48</v>
      </c>
      <c r="C15" s="20"/>
      <c r="D15" s="20"/>
      <c r="E15" s="20"/>
      <c r="F15" s="20"/>
      <c r="G15" s="20"/>
      <c r="H15" s="20"/>
    </row>
    <row r="16">
      <c r="A16" s="27" t="s">
        <v>49</v>
      </c>
      <c r="B16" s="28" t="s">
        <v>50</v>
      </c>
      <c r="C16" s="28" t="s">
        <v>51</v>
      </c>
      <c r="D16" s="28" t="s">
        <v>52</v>
      </c>
      <c r="E16" s="28" t="s">
        <v>53</v>
      </c>
      <c r="F16" s="20"/>
      <c r="G16" s="20"/>
      <c r="H16" s="20"/>
    </row>
    <row r="17">
      <c r="A17" s="24" t="s">
        <v>54</v>
      </c>
      <c r="B17" s="24" t="s">
        <v>55</v>
      </c>
      <c r="C17" s="24" t="s">
        <v>40</v>
      </c>
      <c r="D17" s="24" t="s">
        <v>56</v>
      </c>
      <c r="E17" s="24" t="s">
        <v>57</v>
      </c>
      <c r="F17" s="20"/>
      <c r="G17" s="20"/>
      <c r="H17" s="20"/>
    </row>
    <row r="18">
      <c r="A18" s="24" t="s">
        <v>58</v>
      </c>
      <c r="B18" s="24" t="s">
        <v>59</v>
      </c>
      <c r="C18" s="24" t="s">
        <v>40</v>
      </c>
      <c r="D18" s="24" t="s">
        <v>60</v>
      </c>
      <c r="E18" s="24" t="s">
        <v>61</v>
      </c>
      <c r="F18" s="20"/>
      <c r="G18" s="20"/>
      <c r="H18" s="20"/>
    </row>
    <row r="19">
      <c r="A19" s="24" t="s">
        <v>62</v>
      </c>
      <c r="B19" s="24" t="s">
        <v>63</v>
      </c>
      <c r="C19" s="24" t="s">
        <v>40</v>
      </c>
      <c r="D19" s="24" t="s">
        <v>64</v>
      </c>
      <c r="E19" s="24" t="s">
        <v>65</v>
      </c>
      <c r="F19" s="20"/>
      <c r="G19" s="20"/>
      <c r="H19" s="20"/>
    </row>
    <row r="20">
      <c r="A20" s="24" t="s">
        <v>62</v>
      </c>
      <c r="B20" s="24" t="s">
        <v>66</v>
      </c>
      <c r="C20" s="24" t="s">
        <v>40</v>
      </c>
      <c r="D20" s="24" t="s">
        <v>67</v>
      </c>
      <c r="E20" s="24" t="s">
        <v>68</v>
      </c>
      <c r="F20" s="20"/>
      <c r="G20" s="20"/>
      <c r="H20" s="20"/>
    </row>
    <row r="21">
      <c r="A21" s="24" t="s">
        <v>62</v>
      </c>
      <c r="B21" s="24" t="s">
        <v>69</v>
      </c>
      <c r="C21" s="24" t="s">
        <v>40</v>
      </c>
      <c r="D21" s="24" t="s">
        <v>70</v>
      </c>
      <c r="E21" s="24" t="s">
        <v>71</v>
      </c>
      <c r="F21" s="20"/>
      <c r="G21" s="20"/>
      <c r="H21" s="20"/>
    </row>
    <row r="22">
      <c r="A22" s="24" t="s">
        <v>62</v>
      </c>
      <c r="B22" s="24" t="s">
        <v>72</v>
      </c>
      <c r="C22" s="24" t="s">
        <v>40</v>
      </c>
      <c r="D22" s="24" t="s">
        <v>73</v>
      </c>
      <c r="E22" s="24" t="s">
        <v>74</v>
      </c>
      <c r="F22" s="20"/>
      <c r="G22" s="20"/>
      <c r="H22" s="20"/>
    </row>
    <row r="23">
      <c r="A23" s="24" t="s">
        <v>62</v>
      </c>
      <c r="B23" s="24" t="s">
        <v>75</v>
      </c>
      <c r="C23" s="24" t="s">
        <v>40</v>
      </c>
      <c r="D23" s="24" t="s">
        <v>76</v>
      </c>
      <c r="E23" s="24" t="s">
        <v>77</v>
      </c>
      <c r="F23" s="20"/>
      <c r="G23" s="20"/>
      <c r="H23" s="20"/>
    </row>
    <row r="24">
      <c r="A24" s="24" t="s">
        <v>62</v>
      </c>
      <c r="B24" s="24" t="s">
        <v>78</v>
      </c>
      <c r="C24" s="24" t="s">
        <v>40</v>
      </c>
      <c r="D24" s="24" t="s">
        <v>79</v>
      </c>
      <c r="E24" s="24" t="s">
        <v>80</v>
      </c>
      <c r="F24" s="20"/>
      <c r="G24" s="20"/>
      <c r="H24" s="20"/>
    </row>
    <row r="25">
      <c r="A25" s="24" t="s">
        <v>62</v>
      </c>
      <c r="B25" s="24" t="s">
        <v>81</v>
      </c>
      <c r="C25" s="24" t="s">
        <v>40</v>
      </c>
      <c r="D25" s="24" t="s">
        <v>82</v>
      </c>
      <c r="E25" s="24" t="s">
        <v>83</v>
      </c>
      <c r="F25" s="20"/>
      <c r="G25" s="20"/>
      <c r="H25" s="20"/>
    </row>
    <row r="26">
      <c r="A26" s="24" t="s">
        <v>62</v>
      </c>
      <c r="B26" s="24" t="s">
        <v>84</v>
      </c>
      <c r="C26" s="24" t="s">
        <v>40</v>
      </c>
      <c r="D26" s="24" t="s">
        <v>85</v>
      </c>
      <c r="E26" s="24" t="s">
        <v>74</v>
      </c>
      <c r="F26" s="20"/>
      <c r="G26" s="20"/>
      <c r="H26" s="20"/>
    </row>
    <row r="27">
      <c r="A27" s="24" t="s">
        <v>86</v>
      </c>
      <c r="B27" s="24" t="s">
        <v>87</v>
      </c>
      <c r="C27" s="24" t="s">
        <v>40</v>
      </c>
      <c r="D27" s="24" t="s">
        <v>88</v>
      </c>
      <c r="E27" s="24" t="s">
        <v>74</v>
      </c>
      <c r="F27" s="20"/>
      <c r="G27" s="20"/>
      <c r="H27" s="20"/>
    </row>
    <row r="28">
      <c r="A28" s="24" t="s">
        <v>89</v>
      </c>
      <c r="B28" s="24" t="s">
        <v>72</v>
      </c>
      <c r="C28" s="24" t="s">
        <v>40</v>
      </c>
      <c r="D28" s="24" t="s">
        <v>90</v>
      </c>
      <c r="E28" s="24" t="s">
        <v>91</v>
      </c>
      <c r="F28" s="20"/>
      <c r="G28" s="20"/>
      <c r="H28" s="20"/>
    </row>
    <row r="29">
      <c r="A29" s="24" t="s">
        <v>89</v>
      </c>
      <c r="B29" s="24" t="s">
        <v>66</v>
      </c>
      <c r="C29" s="24" t="s">
        <v>40</v>
      </c>
      <c r="D29" s="24" t="s">
        <v>92</v>
      </c>
      <c r="E29" s="24" t="s">
        <v>93</v>
      </c>
      <c r="F29" s="20"/>
      <c r="G29" s="20"/>
      <c r="H29" s="20"/>
    </row>
    <row r="30">
      <c r="A30" s="24" t="s">
        <v>89</v>
      </c>
      <c r="B30" s="24" t="s">
        <v>94</v>
      </c>
      <c r="C30" s="24" t="s">
        <v>40</v>
      </c>
      <c r="D30" s="24" t="s">
        <v>95</v>
      </c>
      <c r="E30" s="24" t="s">
        <v>96</v>
      </c>
      <c r="F30" s="20"/>
      <c r="G30" s="20"/>
      <c r="H30" s="20"/>
    </row>
    <row r="31">
      <c r="A31" s="24" t="s">
        <v>89</v>
      </c>
      <c r="B31" s="24" t="s">
        <v>84</v>
      </c>
      <c r="C31" s="24" t="s">
        <v>40</v>
      </c>
      <c r="D31" s="24" t="s">
        <v>97</v>
      </c>
      <c r="E31" s="24" t="s">
        <v>91</v>
      </c>
      <c r="F31" s="20"/>
      <c r="G31" s="20"/>
      <c r="H31" s="20"/>
    </row>
    <row r="32">
      <c r="A32" s="24" t="s">
        <v>98</v>
      </c>
      <c r="B32" s="24" t="s">
        <v>99</v>
      </c>
      <c r="C32" s="24" t="s">
        <v>40</v>
      </c>
      <c r="D32" s="24" t="s">
        <v>100</v>
      </c>
      <c r="E32" s="24" t="s">
        <v>101</v>
      </c>
      <c r="F32" s="20"/>
      <c r="G32" s="20"/>
      <c r="H32" s="20"/>
    </row>
    <row r="33">
      <c r="A33" s="24" t="s">
        <v>102</v>
      </c>
      <c r="B33" s="24" t="s">
        <v>66</v>
      </c>
      <c r="C33" s="24" t="s">
        <v>40</v>
      </c>
      <c r="D33" s="24" t="s">
        <v>103</v>
      </c>
      <c r="E33" s="24" t="s">
        <v>104</v>
      </c>
      <c r="F33" s="20"/>
      <c r="G33" s="20"/>
      <c r="H33" s="20"/>
    </row>
    <row r="34">
      <c r="A34" s="22" t="s">
        <v>105</v>
      </c>
      <c r="B34" s="25"/>
      <c r="C34" s="25"/>
      <c r="D34" s="25"/>
      <c r="E34" s="22" t="s">
        <v>106</v>
      </c>
      <c r="F34" s="25"/>
      <c r="G34" s="25"/>
      <c r="H34" s="25"/>
    </row>
    <row r="35">
      <c r="A35" s="21" t="s">
        <v>25</v>
      </c>
      <c r="B35" s="22" t="s">
        <v>107</v>
      </c>
      <c r="C35" s="20"/>
      <c r="D35" s="20"/>
      <c r="E35" s="20"/>
      <c r="F35" s="20"/>
      <c r="G35" s="20"/>
      <c r="H35" s="20"/>
    </row>
    <row r="36">
      <c r="A36" s="27" t="s">
        <v>49</v>
      </c>
      <c r="B36" s="28" t="s">
        <v>50</v>
      </c>
      <c r="C36" s="28" t="s">
        <v>51</v>
      </c>
      <c r="D36" s="28" t="s">
        <v>52</v>
      </c>
      <c r="E36" s="28" t="s">
        <v>53</v>
      </c>
      <c r="F36" s="20"/>
      <c r="G36" s="20"/>
      <c r="H36" s="20"/>
    </row>
    <row r="37">
      <c r="A37" s="24" t="s">
        <v>102</v>
      </c>
      <c r="B37" s="24" t="s">
        <v>108</v>
      </c>
      <c r="C37" s="24" t="s">
        <v>40</v>
      </c>
      <c r="D37" s="24" t="s">
        <v>82</v>
      </c>
      <c r="E37" s="24" t="s">
        <v>109</v>
      </c>
      <c r="F37" s="20"/>
      <c r="G37" s="20"/>
      <c r="H37" s="20"/>
    </row>
    <row r="38">
      <c r="A38" s="23">
        <v>45662.0</v>
      </c>
      <c r="B38" s="24" t="s">
        <v>110</v>
      </c>
      <c r="C38" s="24" t="s">
        <v>40</v>
      </c>
      <c r="D38" s="24" t="s">
        <v>111</v>
      </c>
      <c r="E38" s="24" t="s">
        <v>112</v>
      </c>
      <c r="F38" s="20"/>
      <c r="G38" s="20"/>
      <c r="H38" s="20"/>
    </row>
    <row r="39">
      <c r="A39" s="23">
        <v>45662.0</v>
      </c>
      <c r="B39" s="24" t="s">
        <v>113</v>
      </c>
      <c r="C39" s="24" t="s">
        <v>40</v>
      </c>
      <c r="D39" s="24" t="s">
        <v>100</v>
      </c>
      <c r="E39" s="24" t="s">
        <v>114</v>
      </c>
      <c r="F39" s="20"/>
      <c r="G39" s="20"/>
      <c r="H39" s="20"/>
    </row>
    <row r="40">
      <c r="A40" s="24" t="s">
        <v>115</v>
      </c>
      <c r="B40" s="24" t="s">
        <v>116</v>
      </c>
      <c r="C40" s="24" t="s">
        <v>40</v>
      </c>
      <c r="D40" s="24" t="s">
        <v>82</v>
      </c>
      <c r="E40" s="24" t="s">
        <v>117</v>
      </c>
      <c r="F40" s="20"/>
      <c r="G40" s="20"/>
      <c r="H40" s="20"/>
    </row>
    <row r="41">
      <c r="A41" s="24" t="s">
        <v>118</v>
      </c>
      <c r="B41" s="24" t="s">
        <v>119</v>
      </c>
      <c r="C41" s="24" t="s">
        <v>40</v>
      </c>
      <c r="D41" s="24" t="s">
        <v>120</v>
      </c>
      <c r="E41" s="24" t="s">
        <v>121</v>
      </c>
      <c r="F41" s="20"/>
      <c r="G41" s="20"/>
      <c r="H41" s="20"/>
    </row>
    <row r="42">
      <c r="A42" s="23">
        <v>45694.0</v>
      </c>
      <c r="B42" s="24" t="s">
        <v>122</v>
      </c>
      <c r="C42" s="24" t="s">
        <v>40</v>
      </c>
      <c r="D42" s="24" t="s">
        <v>111</v>
      </c>
      <c r="E42" s="24" t="s">
        <v>112</v>
      </c>
      <c r="F42" s="20"/>
      <c r="G42" s="20"/>
      <c r="H42" s="20"/>
    </row>
    <row r="43">
      <c r="A43" s="23">
        <v>45694.0</v>
      </c>
      <c r="B43" s="24" t="s">
        <v>123</v>
      </c>
      <c r="C43" s="24" t="s">
        <v>40</v>
      </c>
      <c r="D43" s="24" t="s">
        <v>100</v>
      </c>
      <c r="E43" s="24" t="s">
        <v>114</v>
      </c>
      <c r="F43" s="20"/>
      <c r="G43" s="20"/>
      <c r="H43" s="20"/>
    </row>
    <row r="44">
      <c r="A44" s="22" t="s">
        <v>5</v>
      </c>
      <c r="B44" s="25"/>
      <c r="C44" s="25"/>
      <c r="D44" s="25"/>
      <c r="E44" s="22" t="s">
        <v>124</v>
      </c>
      <c r="F44" s="25"/>
      <c r="G44" s="25"/>
      <c r="H44" s="25"/>
    </row>
    <row r="45">
      <c r="A45" s="20"/>
      <c r="B45" s="20"/>
      <c r="C45" s="20"/>
      <c r="D45" s="20"/>
      <c r="E45" s="20"/>
      <c r="F45" s="20"/>
      <c r="G45" s="20"/>
      <c r="H45" s="20"/>
    </row>
    <row r="46">
      <c r="A46" s="20"/>
      <c r="B46" s="20"/>
      <c r="C46" s="20"/>
      <c r="D46" s="20"/>
      <c r="E46" s="20"/>
      <c r="F46" s="20"/>
      <c r="G46" s="20"/>
      <c r="H46" s="20"/>
    </row>
    <row r="47">
      <c r="A47" s="22" t="s">
        <v>125</v>
      </c>
      <c r="C47" s="25"/>
      <c r="D47" s="25"/>
      <c r="E47" s="22" t="s">
        <v>126</v>
      </c>
      <c r="F47" s="25"/>
      <c r="G47" s="25"/>
      <c r="H47" s="25"/>
    </row>
  </sheetData>
  <mergeCells count="1">
    <mergeCell ref="A47:B4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/>
      <c r="B1" s="19"/>
      <c r="C1" s="19"/>
      <c r="D1" s="19"/>
      <c r="E1" s="19"/>
      <c r="F1" s="19"/>
      <c r="G1" s="20"/>
      <c r="H1" s="20"/>
      <c r="I1" s="20"/>
    </row>
    <row r="2">
      <c r="A2" s="19"/>
      <c r="B2" s="19"/>
      <c r="C2" s="19"/>
      <c r="D2" s="19"/>
      <c r="E2" s="19"/>
      <c r="F2" s="19"/>
      <c r="G2" s="20"/>
      <c r="H2" s="20"/>
      <c r="I2" s="20"/>
    </row>
    <row r="3">
      <c r="A3" s="21" t="s">
        <v>127</v>
      </c>
      <c r="B3" s="21" t="s">
        <v>26</v>
      </c>
      <c r="C3" s="21" t="s">
        <v>128</v>
      </c>
      <c r="D3" s="21" t="s">
        <v>129</v>
      </c>
      <c r="E3" s="21" t="s">
        <v>130</v>
      </c>
      <c r="F3" s="21" t="s">
        <v>131</v>
      </c>
      <c r="G3" s="25"/>
      <c r="H3" s="25"/>
      <c r="I3" s="25"/>
    </row>
    <row r="4">
      <c r="A4" s="19"/>
      <c r="B4" s="19"/>
      <c r="C4" s="19"/>
      <c r="D4" s="19"/>
      <c r="E4" s="19"/>
      <c r="F4" s="19"/>
      <c r="G4" s="20"/>
      <c r="H4" s="20"/>
      <c r="I4" s="20"/>
    </row>
    <row r="5">
      <c r="A5" s="23">
        <v>45964.0</v>
      </c>
      <c r="B5" s="24" t="s">
        <v>132</v>
      </c>
      <c r="C5" s="24" t="s">
        <v>28</v>
      </c>
      <c r="D5" s="24" t="s">
        <v>133</v>
      </c>
      <c r="E5" s="20"/>
      <c r="F5" s="29" t="s">
        <v>134</v>
      </c>
      <c r="G5" s="30"/>
      <c r="H5" s="20"/>
      <c r="I5" s="20"/>
    </row>
    <row r="6">
      <c r="A6" s="20"/>
      <c r="B6" s="24" t="s">
        <v>135</v>
      </c>
      <c r="C6" s="24" t="s">
        <v>28</v>
      </c>
      <c r="D6" s="20"/>
      <c r="E6" s="20"/>
      <c r="F6" s="29" t="s">
        <v>136</v>
      </c>
      <c r="G6" s="30"/>
      <c r="H6" s="20"/>
      <c r="I6" s="20"/>
    </row>
    <row r="7">
      <c r="A7" s="23">
        <v>45994.0</v>
      </c>
      <c r="B7" s="24" t="s">
        <v>137</v>
      </c>
      <c r="C7" s="24" t="s">
        <v>28</v>
      </c>
      <c r="D7" s="20"/>
      <c r="E7" s="20"/>
      <c r="F7" s="29" t="s">
        <v>138</v>
      </c>
      <c r="G7" s="30"/>
      <c r="H7" s="20"/>
      <c r="I7" s="20"/>
    </row>
    <row r="8">
      <c r="A8" s="24" t="s">
        <v>34</v>
      </c>
      <c r="B8" s="24" t="s">
        <v>139</v>
      </c>
      <c r="C8" s="24" t="s">
        <v>28</v>
      </c>
      <c r="D8" s="24" t="s">
        <v>140</v>
      </c>
      <c r="E8" s="20"/>
      <c r="F8" s="29" t="s">
        <v>141</v>
      </c>
      <c r="G8" s="30"/>
      <c r="H8" s="20"/>
      <c r="I8" s="20"/>
    </row>
    <row r="9">
      <c r="A9" s="20"/>
      <c r="B9" s="24" t="s">
        <v>142</v>
      </c>
      <c r="C9" s="20"/>
      <c r="D9" s="20"/>
      <c r="E9" s="20"/>
      <c r="F9" s="29" t="s">
        <v>143</v>
      </c>
      <c r="G9" s="20"/>
      <c r="H9" s="20"/>
      <c r="I9" s="20"/>
    </row>
    <row r="10">
      <c r="A10" s="24" t="s">
        <v>34</v>
      </c>
      <c r="B10" s="24" t="s">
        <v>144</v>
      </c>
      <c r="C10" s="24" t="s">
        <v>28</v>
      </c>
      <c r="D10" s="24" t="s">
        <v>140</v>
      </c>
      <c r="E10" s="20"/>
      <c r="F10" s="29" t="s">
        <v>145</v>
      </c>
      <c r="G10" s="30"/>
      <c r="H10" s="20"/>
      <c r="I10" s="20"/>
    </row>
    <row r="11">
      <c r="A11" s="20"/>
      <c r="B11" s="20"/>
      <c r="C11" s="20"/>
      <c r="D11" s="20"/>
      <c r="E11" s="20"/>
      <c r="F11" s="30"/>
      <c r="G11" s="30"/>
      <c r="H11" s="20"/>
      <c r="I11" s="20"/>
    </row>
    <row r="12">
      <c r="A12" s="22" t="s">
        <v>5</v>
      </c>
      <c r="B12" s="25"/>
      <c r="C12" s="25"/>
      <c r="D12" s="25"/>
      <c r="E12" s="25"/>
      <c r="F12" s="31">
        <v>2223591.8</v>
      </c>
      <c r="G12" s="25"/>
      <c r="H12" s="25"/>
      <c r="I12" s="25"/>
    </row>
    <row r="13">
      <c r="A13" s="20"/>
      <c r="B13" s="20"/>
      <c r="C13" s="20"/>
      <c r="D13" s="20"/>
      <c r="E13" s="20"/>
      <c r="F13" s="20"/>
      <c r="G13" s="20"/>
      <c r="H13" s="20"/>
      <c r="I13" s="20"/>
    </row>
    <row r="14">
      <c r="A14" s="20"/>
      <c r="B14" s="20"/>
      <c r="C14" s="20"/>
      <c r="D14" s="20"/>
      <c r="E14" s="20"/>
      <c r="F14" s="20"/>
      <c r="G14" s="20"/>
      <c r="H14" s="20"/>
      <c r="I14" s="20"/>
    </row>
    <row r="15">
      <c r="A15" s="20"/>
      <c r="B15" s="20"/>
      <c r="C15" s="20"/>
      <c r="D15" s="20"/>
      <c r="E15" s="20"/>
      <c r="F15" s="20"/>
      <c r="G15" s="20"/>
      <c r="H15" s="20"/>
      <c r="I15" s="20"/>
    </row>
    <row r="16">
      <c r="A16" s="24" t="s">
        <v>146</v>
      </c>
      <c r="B16" s="20"/>
      <c r="C16" s="20"/>
      <c r="D16" s="20"/>
      <c r="E16" s="20"/>
      <c r="F16" s="20"/>
      <c r="G16" s="20"/>
      <c r="H16" s="20"/>
      <c r="I16" s="20"/>
    </row>
    <row r="17">
      <c r="A17" s="21" t="s">
        <v>147</v>
      </c>
      <c r="B17" s="22" t="s">
        <v>49</v>
      </c>
      <c r="C17" s="24" t="s">
        <v>148</v>
      </c>
      <c r="D17" s="24" t="s">
        <v>7</v>
      </c>
      <c r="E17" s="20"/>
      <c r="F17" s="20"/>
      <c r="G17" s="20"/>
      <c r="H17" s="20"/>
      <c r="I17" s="20"/>
    </row>
    <row r="18">
      <c r="A18" s="24" t="s">
        <v>149</v>
      </c>
      <c r="B18" s="32">
        <v>45728.0</v>
      </c>
      <c r="C18" s="24" t="s">
        <v>28</v>
      </c>
      <c r="D18" s="33">
        <v>1000000.0</v>
      </c>
      <c r="E18" s="20"/>
      <c r="F18" s="20"/>
      <c r="G18" s="20"/>
      <c r="H18" s="20"/>
      <c r="I18" s="20"/>
    </row>
    <row r="19">
      <c r="A19" s="20"/>
      <c r="B19" s="32">
        <v>45728.0</v>
      </c>
      <c r="C19" s="24" t="s">
        <v>150</v>
      </c>
      <c r="D19" s="34">
        <v>21300.0</v>
      </c>
      <c r="E19" s="20"/>
      <c r="F19" s="20"/>
      <c r="G19" s="20"/>
      <c r="H19" s="20"/>
      <c r="I19" s="20"/>
    </row>
    <row r="20">
      <c r="A20" s="20"/>
      <c r="B20" s="20"/>
      <c r="C20" s="24" t="s">
        <v>151</v>
      </c>
      <c r="D20" s="33">
        <v>1000000.0</v>
      </c>
      <c r="E20" s="20"/>
      <c r="F20" s="20"/>
      <c r="G20" s="20"/>
      <c r="H20" s="20"/>
      <c r="I20" s="20"/>
    </row>
    <row r="21">
      <c r="A21" s="20"/>
      <c r="B21" s="22" t="s">
        <v>150</v>
      </c>
      <c r="C21" s="20"/>
      <c r="D21" s="20"/>
      <c r="E21" s="20"/>
      <c r="F21" s="20"/>
      <c r="G21" s="20"/>
      <c r="H21" s="20"/>
      <c r="I21" s="20"/>
    </row>
    <row r="22">
      <c r="A22" s="24" t="s">
        <v>152</v>
      </c>
      <c r="B22" s="20"/>
      <c r="C22" s="24" t="s">
        <v>150</v>
      </c>
      <c r="D22" s="34">
        <v>222180.0</v>
      </c>
      <c r="E22" s="24" t="s">
        <v>153</v>
      </c>
      <c r="F22" s="20"/>
      <c r="G22" s="20"/>
      <c r="H22" s="20"/>
      <c r="I22" s="20"/>
    </row>
    <row r="23">
      <c r="A23" s="24" t="s">
        <v>154</v>
      </c>
      <c r="B23" s="32">
        <v>45728.0</v>
      </c>
      <c r="C23" s="24" t="s">
        <v>150</v>
      </c>
      <c r="D23" s="34">
        <v>55020.0</v>
      </c>
      <c r="E23" s="24" t="s">
        <v>153</v>
      </c>
      <c r="F23" s="20"/>
      <c r="G23" s="20"/>
      <c r="H23" s="20"/>
      <c r="I23" s="20"/>
    </row>
    <row r="24">
      <c r="A24" s="24" t="s">
        <v>155</v>
      </c>
      <c r="B24" s="20"/>
      <c r="C24" s="24" t="s">
        <v>150</v>
      </c>
      <c r="D24" s="34">
        <v>128200.0</v>
      </c>
      <c r="E24" s="24" t="s">
        <v>153</v>
      </c>
      <c r="F24" s="20"/>
      <c r="G24" s="20"/>
      <c r="H24" s="20"/>
      <c r="I24" s="20"/>
    </row>
    <row r="25">
      <c r="A25" s="24" t="s">
        <v>156</v>
      </c>
      <c r="B25" s="32">
        <v>45776.0</v>
      </c>
      <c r="C25" s="24" t="s">
        <v>150</v>
      </c>
      <c r="D25" s="34">
        <v>65100.0</v>
      </c>
      <c r="E25" s="24" t="s">
        <v>153</v>
      </c>
      <c r="F25" s="20"/>
      <c r="G25" s="20"/>
      <c r="H25" s="20"/>
      <c r="I25" s="20"/>
    </row>
    <row r="26">
      <c r="A26" s="24" t="s">
        <v>157</v>
      </c>
      <c r="B26" s="20"/>
      <c r="C26" s="29" t="s">
        <v>158</v>
      </c>
      <c r="D26" s="34">
        <v>136640.0</v>
      </c>
      <c r="E26" s="20"/>
      <c r="F26" s="20"/>
      <c r="G26" s="20"/>
      <c r="H26" s="20"/>
      <c r="I26" s="20"/>
    </row>
    <row r="27">
      <c r="A27" s="24" t="s">
        <v>159</v>
      </c>
      <c r="B27" s="20"/>
      <c r="C27" s="20"/>
      <c r="D27" s="35">
        <v>607140.0</v>
      </c>
      <c r="E27" s="22" t="s">
        <v>160</v>
      </c>
      <c r="F27" s="36">
        <v>-114900.0</v>
      </c>
      <c r="G27" s="20"/>
      <c r="H27" s="20"/>
      <c r="I27" s="20"/>
    </row>
    <row r="28">
      <c r="A28" s="20"/>
      <c r="B28" s="20"/>
      <c r="C28" s="20"/>
      <c r="D28" s="20"/>
      <c r="E28" s="20"/>
      <c r="F28" s="20"/>
      <c r="G28" s="20"/>
      <c r="H28" s="20"/>
      <c r="I28" s="20"/>
    </row>
    <row r="29">
      <c r="A29" s="20"/>
      <c r="B29" s="20"/>
      <c r="C29" s="20"/>
      <c r="D29" s="20"/>
      <c r="E29" s="20"/>
      <c r="F29" s="20"/>
      <c r="G29" s="20"/>
      <c r="H29" s="20"/>
      <c r="I29" s="20"/>
    </row>
    <row r="30">
      <c r="A30" s="20"/>
      <c r="B30" s="20"/>
      <c r="C30" s="20"/>
      <c r="D30" s="20"/>
      <c r="E30" s="20"/>
      <c r="F30" s="20"/>
      <c r="G30" s="20"/>
      <c r="H30" s="20"/>
      <c r="I30" s="20"/>
    </row>
    <row r="31">
      <c r="A31" s="20"/>
      <c r="B31" s="20"/>
      <c r="C31" s="20"/>
      <c r="D31" s="20"/>
      <c r="E31" s="20"/>
      <c r="F31" s="20"/>
      <c r="G31" s="20"/>
      <c r="H31" s="20"/>
      <c r="I31" s="20"/>
    </row>
    <row r="32">
      <c r="A32" s="20"/>
      <c r="B32" s="20"/>
      <c r="C32" s="20"/>
      <c r="D32" s="20"/>
      <c r="E32" s="20"/>
      <c r="F32" s="20"/>
      <c r="G32" s="20"/>
      <c r="H32" s="20"/>
      <c r="I32" s="20"/>
    </row>
    <row r="33">
      <c r="A33" s="20"/>
      <c r="B33" s="20"/>
      <c r="C33" s="20"/>
      <c r="D33" s="20"/>
      <c r="E33" s="20"/>
      <c r="F33" s="20"/>
      <c r="G33" s="20"/>
      <c r="H33" s="20"/>
      <c r="I33" s="20"/>
    </row>
    <row r="34">
      <c r="A34" s="20"/>
      <c r="B34" s="20"/>
      <c r="C34" s="20"/>
      <c r="D34" s="20"/>
      <c r="E34" s="20"/>
      <c r="F34" s="20"/>
      <c r="G34" s="20"/>
      <c r="H34" s="20"/>
      <c r="I34" s="20"/>
    </row>
    <row r="35">
      <c r="A35" s="20"/>
      <c r="B35" s="20"/>
      <c r="C35" s="20"/>
      <c r="D35" s="20"/>
      <c r="E35" s="20"/>
      <c r="F35" s="20"/>
      <c r="G35" s="20"/>
      <c r="H35" s="20"/>
      <c r="I35" s="20"/>
    </row>
    <row r="36">
      <c r="A36" s="20"/>
      <c r="B36" s="20"/>
      <c r="C36" s="20"/>
      <c r="D36" s="20"/>
      <c r="E36" s="20"/>
      <c r="F36" s="20"/>
      <c r="G36" s="20"/>
      <c r="H36" s="20"/>
      <c r="I36" s="20"/>
    </row>
    <row r="37">
      <c r="A37" s="20"/>
      <c r="B37" s="20"/>
      <c r="C37" s="20"/>
      <c r="D37" s="20"/>
      <c r="E37" s="20"/>
      <c r="F37" s="20"/>
      <c r="G37" s="20"/>
      <c r="H37" s="20"/>
      <c r="I37" s="20"/>
    </row>
    <row r="38">
      <c r="A38" s="20"/>
      <c r="B38" s="20"/>
      <c r="C38" s="20"/>
      <c r="D38" s="20"/>
      <c r="E38" s="20"/>
      <c r="F38" s="20"/>
      <c r="G38" s="20"/>
      <c r="H38" s="20"/>
      <c r="I38" s="20"/>
    </row>
    <row r="39">
      <c r="A39" s="20"/>
      <c r="B39" s="20"/>
      <c r="C39" s="20"/>
      <c r="D39" s="20"/>
      <c r="E39" s="20"/>
      <c r="F39" s="20"/>
      <c r="G39" s="20"/>
      <c r="H39" s="20"/>
      <c r="I39" s="20"/>
    </row>
    <row r="40">
      <c r="A40" s="25"/>
      <c r="B40" s="25"/>
      <c r="C40" s="25"/>
      <c r="D40" s="25"/>
      <c r="E40" s="25"/>
      <c r="F40" s="25"/>
      <c r="G40" s="25"/>
      <c r="H40" s="25"/>
      <c r="I40" s="25"/>
    </row>
    <row r="41">
      <c r="A41" s="19"/>
      <c r="B41" s="25"/>
      <c r="C41" s="20"/>
      <c r="D41" s="20"/>
      <c r="E41" s="20"/>
      <c r="F41" s="20"/>
      <c r="G41" s="20"/>
      <c r="H41" s="20"/>
      <c r="I41" s="20"/>
    </row>
    <row r="42">
      <c r="A42" s="37"/>
      <c r="B42" s="38"/>
      <c r="C42" s="38"/>
      <c r="D42" s="38"/>
      <c r="E42" s="38"/>
      <c r="F42" s="38"/>
      <c r="G42" s="20"/>
      <c r="H42" s="20"/>
      <c r="I42" s="20"/>
    </row>
    <row r="43">
      <c r="A43" s="20"/>
      <c r="B43" s="20"/>
      <c r="C43" s="20"/>
      <c r="D43" s="20"/>
      <c r="E43" s="20"/>
      <c r="F43" s="20"/>
      <c r="G43" s="20"/>
      <c r="H43" s="20"/>
      <c r="I43" s="20"/>
    </row>
    <row r="44">
      <c r="A44" s="20"/>
      <c r="B44" s="20"/>
      <c r="C44" s="20"/>
      <c r="D44" s="20"/>
      <c r="E44" s="20"/>
      <c r="F44" s="20"/>
      <c r="G44" s="20"/>
      <c r="H44" s="20"/>
      <c r="I44" s="20"/>
    </row>
    <row r="45">
      <c r="A45" s="20"/>
      <c r="B45" s="20"/>
      <c r="C45" s="20"/>
      <c r="D45" s="20"/>
      <c r="E45" s="20"/>
      <c r="F45" s="20"/>
      <c r="G45" s="20"/>
      <c r="H45" s="20"/>
      <c r="I45" s="20"/>
    </row>
    <row r="46">
      <c r="A46" s="20"/>
      <c r="B46" s="20"/>
      <c r="C46" s="20"/>
      <c r="D46" s="20"/>
      <c r="E46" s="20"/>
      <c r="F46" s="20"/>
      <c r="G46" s="20"/>
      <c r="H46" s="20"/>
      <c r="I46" s="20"/>
    </row>
    <row r="47">
      <c r="A47" s="20"/>
      <c r="B47" s="20"/>
      <c r="C47" s="20"/>
      <c r="D47" s="20"/>
      <c r="E47" s="20"/>
      <c r="F47" s="20"/>
      <c r="G47" s="20"/>
      <c r="H47" s="20"/>
      <c r="I47" s="20"/>
    </row>
    <row r="48">
      <c r="A48" s="20"/>
      <c r="B48" s="20"/>
      <c r="C48" s="20"/>
      <c r="D48" s="20"/>
      <c r="E48" s="20"/>
      <c r="F48" s="20"/>
      <c r="G48" s="20"/>
      <c r="H48" s="20"/>
      <c r="I48" s="20"/>
    </row>
    <row r="49">
      <c r="A49" s="20"/>
      <c r="B49" s="20"/>
      <c r="C49" s="20"/>
      <c r="D49" s="20"/>
      <c r="E49" s="20"/>
      <c r="F49" s="20"/>
      <c r="G49" s="20"/>
      <c r="H49" s="20"/>
      <c r="I49" s="20"/>
    </row>
    <row r="50">
      <c r="A50" s="25"/>
      <c r="B50" s="25"/>
      <c r="C50" s="25"/>
      <c r="D50" s="25"/>
      <c r="E50" s="25"/>
      <c r="F50" s="25"/>
      <c r="G50" s="25"/>
      <c r="H50" s="25"/>
      <c r="I50" s="25"/>
    </row>
    <row r="51">
      <c r="A51" s="20"/>
      <c r="B51" s="20"/>
      <c r="C51" s="20"/>
      <c r="D51" s="20"/>
      <c r="E51" s="20"/>
      <c r="F51" s="20"/>
      <c r="G51" s="20"/>
      <c r="H51" s="20"/>
      <c r="I51" s="20"/>
    </row>
    <row r="52">
      <c r="A52" s="20"/>
      <c r="B52" s="20"/>
      <c r="C52" s="20"/>
      <c r="D52" s="20"/>
      <c r="E52" s="20"/>
      <c r="F52" s="20"/>
      <c r="G52" s="20"/>
      <c r="H52" s="20"/>
      <c r="I52" s="20"/>
    </row>
    <row r="53">
      <c r="A53" s="25"/>
      <c r="B53" s="25"/>
      <c r="C53" s="25"/>
      <c r="D53" s="25"/>
      <c r="E53" s="25"/>
      <c r="F53" s="25"/>
      <c r="G53" s="25"/>
      <c r="H53" s="25"/>
      <c r="I53" s="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2.38"/>
    <col customWidth="1" min="2" max="2" width="23.63"/>
    <col customWidth="1" min="3" max="3" width="11.75"/>
    <col customWidth="1" min="4" max="4" width="5.25"/>
    <col customWidth="1" min="5" max="5" width="9.25"/>
    <col customWidth="1" min="6" max="6" width="12.13"/>
    <col customWidth="1" min="7" max="7" width="15.0"/>
    <col customWidth="1" min="8" max="8" width="5.5"/>
    <col customWidth="1" min="9" max="9" width="9.25"/>
    <col customWidth="1" min="10" max="10" width="12.88"/>
    <col customWidth="1" min="11" max="11" width="15.0"/>
    <col customWidth="1" min="12" max="12" width="7.88"/>
  </cols>
  <sheetData>
    <row r="1">
      <c r="A1" s="39"/>
      <c r="B1" s="39"/>
      <c r="C1" s="39"/>
      <c r="E1" s="39"/>
      <c r="F1" s="39"/>
      <c r="G1" s="39"/>
      <c r="I1" s="39"/>
      <c r="J1" s="39"/>
      <c r="K1" s="39"/>
    </row>
    <row r="2">
      <c r="A2" s="40" t="s">
        <v>161</v>
      </c>
      <c r="B2" s="41"/>
      <c r="C2" s="42"/>
      <c r="E2" s="40" t="s">
        <v>10</v>
      </c>
      <c r="F2" s="41"/>
      <c r="G2" s="42"/>
      <c r="I2" s="40" t="s">
        <v>13</v>
      </c>
      <c r="J2" s="41"/>
      <c r="K2" s="42"/>
    </row>
    <row r="3">
      <c r="A3" s="43" t="s">
        <v>5</v>
      </c>
      <c r="B3" s="44"/>
      <c r="C3" s="44">
        <f>sum(C7:C1005)</f>
        <v>437340</v>
      </c>
      <c r="E3" s="43" t="s">
        <v>5</v>
      </c>
      <c r="F3" s="44"/>
      <c r="G3" s="44">
        <f>sum(G7:G1005)</f>
        <v>1924356</v>
      </c>
      <c r="I3" s="43" t="s">
        <v>5</v>
      </c>
      <c r="J3" s="44"/>
      <c r="K3" s="44">
        <f>sum(K7:K1005)</f>
        <v>1924357</v>
      </c>
      <c r="M3" s="40" t="s">
        <v>162</v>
      </c>
      <c r="N3" s="42"/>
      <c r="O3" s="45"/>
    </row>
    <row r="4">
      <c r="A4" s="43"/>
      <c r="B4" s="43"/>
      <c r="C4" s="43"/>
      <c r="E4" s="43"/>
      <c r="F4" s="43"/>
      <c r="G4" s="43"/>
      <c r="I4" s="43"/>
      <c r="J4" s="43" t="s">
        <v>163</v>
      </c>
      <c r="K4" s="44">
        <f>(G3-K3)/2</f>
        <v>-0.5</v>
      </c>
      <c r="M4" s="43" t="s">
        <v>49</v>
      </c>
      <c r="N4" s="43" t="s">
        <v>7</v>
      </c>
      <c r="O4" s="43" t="s">
        <v>164</v>
      </c>
    </row>
    <row r="5">
      <c r="A5" s="43"/>
      <c r="B5" s="43"/>
      <c r="C5" s="43"/>
      <c r="E5" s="43"/>
      <c r="F5" s="43" t="s">
        <v>165</v>
      </c>
      <c r="G5" s="46">
        <f>C3/2</f>
        <v>218670</v>
      </c>
      <c r="I5" s="43"/>
      <c r="J5" s="43" t="s">
        <v>165</v>
      </c>
      <c r="K5" s="46">
        <f>C3/2</f>
        <v>218670</v>
      </c>
      <c r="M5" s="47" t="s">
        <v>166</v>
      </c>
      <c r="N5" s="48">
        <v>500000.0</v>
      </c>
      <c r="O5" s="47" t="s">
        <v>167</v>
      </c>
    </row>
    <row r="6" ht="22.5" customHeight="1">
      <c r="A6" s="49" t="s">
        <v>49</v>
      </c>
      <c r="B6" s="49" t="s">
        <v>168</v>
      </c>
      <c r="C6" s="49" t="s">
        <v>169</v>
      </c>
      <c r="E6" s="49" t="s">
        <v>49</v>
      </c>
      <c r="F6" s="49" t="s">
        <v>170</v>
      </c>
      <c r="G6" s="49" t="s">
        <v>169</v>
      </c>
      <c r="I6" s="49" t="s">
        <v>49</v>
      </c>
      <c r="J6" s="49" t="s">
        <v>170</v>
      </c>
      <c r="K6" s="49" t="s">
        <v>169</v>
      </c>
      <c r="M6" s="47" t="s">
        <v>171</v>
      </c>
      <c r="N6" s="47">
        <f>296944</f>
        <v>296944</v>
      </c>
      <c r="O6" s="47" t="s">
        <v>167</v>
      </c>
    </row>
    <row r="7" ht="22.5" customHeight="1">
      <c r="A7" s="50">
        <v>45693.0</v>
      </c>
      <c r="B7" s="51" t="s">
        <v>150</v>
      </c>
      <c r="C7" s="51">
        <v>128200.0</v>
      </c>
      <c r="E7" s="52">
        <v>45994.0</v>
      </c>
      <c r="F7" s="51" t="s">
        <v>21</v>
      </c>
      <c r="G7" s="53">
        <v>1000000.0</v>
      </c>
      <c r="I7" s="52">
        <v>45780.0</v>
      </c>
      <c r="J7" s="51" t="s">
        <v>21</v>
      </c>
      <c r="K7" s="51">
        <v>1000000.0</v>
      </c>
    </row>
    <row r="8" ht="22.5" customHeight="1">
      <c r="A8" s="50">
        <v>45721.0</v>
      </c>
      <c r="B8" s="54" t="s">
        <v>72</v>
      </c>
      <c r="C8" s="54">
        <v>2500.0</v>
      </c>
      <c r="E8" s="52">
        <v>45994.0</v>
      </c>
      <c r="F8" s="51" t="s">
        <v>21</v>
      </c>
      <c r="G8" s="53">
        <v>21300.0</v>
      </c>
      <c r="I8" s="52">
        <v>45780.0</v>
      </c>
      <c r="J8" s="51" t="s">
        <v>21</v>
      </c>
      <c r="K8" s="51">
        <v>127413.0</v>
      </c>
    </row>
    <row r="9" ht="22.5" customHeight="1">
      <c r="A9" s="54" t="s">
        <v>172</v>
      </c>
      <c r="B9" s="51" t="s">
        <v>150</v>
      </c>
      <c r="C9" s="51">
        <v>55020.0</v>
      </c>
      <c r="E9" s="52">
        <v>45994.0</v>
      </c>
      <c r="F9" s="51" t="s">
        <v>173</v>
      </c>
      <c r="G9" s="55">
        <f>1700000-K9</f>
        <v>903056</v>
      </c>
      <c r="I9" s="54" t="s">
        <v>171</v>
      </c>
      <c r="J9" s="51" t="s">
        <v>173</v>
      </c>
      <c r="K9" s="51">
        <v>796944.0</v>
      </c>
    </row>
    <row r="10" ht="22.5" customHeight="1">
      <c r="A10" s="56" t="s">
        <v>174</v>
      </c>
      <c r="B10" s="56" t="s">
        <v>175</v>
      </c>
      <c r="C10" s="56">
        <v>8000.0</v>
      </c>
    </row>
    <row r="11" ht="22.5" customHeight="1">
      <c r="A11" s="56" t="s">
        <v>176</v>
      </c>
      <c r="B11" s="56" t="s">
        <v>177</v>
      </c>
      <c r="C11" s="56">
        <v>1830.0</v>
      </c>
    </row>
    <row r="12" ht="22.5" customHeight="1">
      <c r="A12" s="56" t="s">
        <v>176</v>
      </c>
      <c r="B12" s="56" t="s">
        <v>178</v>
      </c>
      <c r="C12" s="56">
        <v>180.0</v>
      </c>
    </row>
    <row r="13" ht="22.5" customHeight="1">
      <c r="A13" s="56" t="s">
        <v>176</v>
      </c>
      <c r="B13" s="56" t="s">
        <v>179</v>
      </c>
      <c r="C13" s="56">
        <v>370.0</v>
      </c>
    </row>
    <row r="14" ht="22.5" customHeight="1">
      <c r="A14" s="56" t="s">
        <v>176</v>
      </c>
      <c r="B14" s="56" t="s">
        <v>72</v>
      </c>
      <c r="C14" s="56">
        <v>4500.0</v>
      </c>
    </row>
    <row r="15" ht="22.5" customHeight="1">
      <c r="A15" s="56" t="s">
        <v>176</v>
      </c>
      <c r="B15" s="56" t="s">
        <v>94</v>
      </c>
      <c r="C15" s="56">
        <v>4100.0</v>
      </c>
    </row>
    <row r="16" ht="22.5" customHeight="1">
      <c r="A16" s="56" t="s">
        <v>176</v>
      </c>
      <c r="B16" s="56" t="s">
        <v>180</v>
      </c>
      <c r="C16" s="56">
        <v>4500.0</v>
      </c>
    </row>
    <row r="17" ht="22.5" customHeight="1">
      <c r="A17" s="56" t="s">
        <v>176</v>
      </c>
      <c r="B17" s="56" t="s">
        <v>181</v>
      </c>
      <c r="C17" s="56">
        <v>710.0</v>
      </c>
    </row>
    <row r="18" ht="22.5" customHeight="1">
      <c r="A18" s="56" t="s">
        <v>182</v>
      </c>
      <c r="B18" s="56" t="s">
        <v>183</v>
      </c>
      <c r="C18" s="56">
        <v>5100.0</v>
      </c>
    </row>
    <row r="19" ht="22.5" customHeight="1">
      <c r="A19" s="56" t="s">
        <v>184</v>
      </c>
      <c r="B19" s="56" t="s">
        <v>185</v>
      </c>
      <c r="C19" s="56">
        <v>3050.0</v>
      </c>
    </row>
    <row r="20" ht="22.5" customHeight="1">
      <c r="A20" s="56" t="s">
        <v>186</v>
      </c>
      <c r="B20" s="56" t="s">
        <v>187</v>
      </c>
      <c r="C20" s="56">
        <v>4500.0</v>
      </c>
    </row>
    <row r="21" ht="22.5" customHeight="1">
      <c r="A21" s="56" t="s">
        <v>188</v>
      </c>
      <c r="B21" s="56" t="s">
        <v>72</v>
      </c>
      <c r="C21" s="56">
        <v>2500.0</v>
      </c>
    </row>
    <row r="22" ht="22.5" customHeight="1">
      <c r="A22" s="56" t="s">
        <v>188</v>
      </c>
      <c r="B22" s="56" t="s">
        <v>189</v>
      </c>
      <c r="C22" s="56">
        <v>3750.0</v>
      </c>
    </row>
    <row r="23" ht="22.5" customHeight="1">
      <c r="A23" s="56" t="s">
        <v>190</v>
      </c>
      <c r="B23" s="56" t="s">
        <v>191</v>
      </c>
      <c r="C23" s="56">
        <v>1900.0</v>
      </c>
    </row>
    <row r="24" ht="22.5" customHeight="1">
      <c r="A24" s="57" t="s">
        <v>192</v>
      </c>
      <c r="B24" s="58" t="s">
        <v>150</v>
      </c>
      <c r="C24" s="58">
        <v>177630.0</v>
      </c>
    </row>
    <row r="25" ht="22.5" customHeight="1">
      <c r="A25" s="56" t="s">
        <v>192</v>
      </c>
      <c r="B25" s="56" t="s">
        <v>72</v>
      </c>
      <c r="C25" s="56">
        <v>2500.0</v>
      </c>
    </row>
    <row r="26" ht="22.5" customHeight="1">
      <c r="A26" s="56" t="s">
        <v>192</v>
      </c>
      <c r="B26" s="56" t="s">
        <v>177</v>
      </c>
      <c r="C26" s="56">
        <v>300.0</v>
      </c>
    </row>
    <row r="27" ht="22.5" customHeight="1">
      <c r="A27" s="56" t="s">
        <v>193</v>
      </c>
      <c r="B27" s="56" t="s">
        <v>194</v>
      </c>
      <c r="C27" s="56">
        <v>3500.0</v>
      </c>
    </row>
    <row r="28" ht="22.5" customHeight="1">
      <c r="A28" s="56" t="s">
        <v>193</v>
      </c>
      <c r="B28" s="56" t="s">
        <v>195</v>
      </c>
      <c r="C28" s="56">
        <v>2000.0</v>
      </c>
    </row>
    <row r="29" ht="22.5" customHeight="1">
      <c r="A29" s="59">
        <v>45721.0</v>
      </c>
      <c r="B29" s="56" t="s">
        <v>94</v>
      </c>
      <c r="C29" s="56">
        <v>2700.0</v>
      </c>
    </row>
    <row r="30" ht="22.5" customHeight="1">
      <c r="A30" s="59">
        <v>45813.0</v>
      </c>
      <c r="B30" s="56" t="s">
        <v>196</v>
      </c>
      <c r="C30" s="56">
        <v>500.0</v>
      </c>
    </row>
    <row r="31" ht="22.5" customHeight="1">
      <c r="A31" s="56" t="s">
        <v>197</v>
      </c>
      <c r="B31" s="56" t="s">
        <v>72</v>
      </c>
      <c r="C31" s="56">
        <v>2500.0</v>
      </c>
    </row>
    <row r="32" ht="22.5" customHeight="1">
      <c r="A32" s="56" t="s">
        <v>198</v>
      </c>
      <c r="B32" s="56" t="s">
        <v>199</v>
      </c>
      <c r="C32" s="56">
        <v>15000.0</v>
      </c>
    </row>
  </sheetData>
  <mergeCells count="4">
    <mergeCell ref="A2:C2"/>
    <mergeCell ref="E2:G2"/>
    <mergeCell ref="I2:K2"/>
    <mergeCell ref="M3:N3"/>
  </mergeCells>
  <dataValidations>
    <dataValidation type="custom" allowBlank="1" showDropDown="1" sqref="A7:A32">
      <formula1>OR(NOT(ISERROR(DATEVALUE(A7))), AND(ISNUMBER(A7), LEFT(CELL("format", A7))="D"))</formula1>
    </dataValidation>
    <dataValidation type="custom" allowBlank="1" showDropDown="1" sqref="J7:K9 F7:G9">
      <formula1>AND(ISNUMBER(F7),(NOT(OR(NOT(ISERROR(DATEVALUE(F7))), AND(ISNUMBER(F7), LEFT(CELL("format", F7))="D")))))</formula1>
    </dataValidation>
  </dataValidations>
  <drawing r:id="rId1"/>
  <tableParts count="3">
    <tablePart r:id="rId5"/>
    <tablePart r:id="rId6"/>
    <tablePart r:id="rId7"/>
  </tableParts>
</worksheet>
</file>